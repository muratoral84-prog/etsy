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Start Here" sheetId="2" state="visible" r:id="rId2"/>
    <sheet name="Dashboard" sheetId="3" state="visible" r:id="rId3"/>
    <sheet name="W01" sheetId="4" state="visible" r:id="rId4"/>
    <sheet name="W02" sheetId="5" state="visible" r:id="rId5"/>
    <sheet name="W03" sheetId="6" state="visible" r:id="rId6"/>
    <sheet name="W04" sheetId="7" state="visible" r:id="rId7"/>
    <sheet name="W05" sheetId="8" state="visible" r:id="rId8"/>
    <sheet name="W06" sheetId="9" state="visible" r:id="rId9"/>
    <sheet name="W07" sheetId="10" state="visible" r:id="rId10"/>
    <sheet name="W08" sheetId="11" state="visible" r:id="rId11"/>
    <sheet name="W09" sheetId="12" state="visible" r:id="rId12"/>
    <sheet name="W10" sheetId="13" state="visible" r:id="rId13"/>
    <sheet name="W11" sheetId="14" state="visible" r:id="rId14"/>
    <sheet name="W12" sheetId="15" state="visible" r:id="rId15"/>
    <sheet name="W13" sheetId="16" state="visible" r:id="rId16"/>
    <sheet name="W14" sheetId="17" state="visible" r:id="rId17"/>
    <sheet name="W15" sheetId="18" state="visible" r:id="rId18"/>
    <sheet name="W16" sheetId="19" state="visible" r:id="rId19"/>
    <sheet name="W17" sheetId="20" state="visible" r:id="rId20"/>
    <sheet name="W18" sheetId="21" state="visible" r:id="rId21"/>
    <sheet name="W19" sheetId="22" state="visible" r:id="rId22"/>
    <sheet name="W20" sheetId="23" state="visible" r:id="rId23"/>
    <sheet name="W21" sheetId="24" state="visible" r:id="rId24"/>
    <sheet name="W22" sheetId="25" state="visible" r:id="rId25"/>
    <sheet name="W23" sheetId="26" state="visible" r:id="rId26"/>
    <sheet name="W24" sheetId="27" state="visible" r:id="rId27"/>
    <sheet name="W25" sheetId="28" state="visible" r:id="rId28"/>
    <sheet name="W26" sheetId="29" state="visible" r:id="rId29"/>
    <sheet name="W27" sheetId="30" state="visible" r:id="rId30"/>
    <sheet name="W28" sheetId="31" state="visible" r:id="rId31"/>
    <sheet name="W29" sheetId="32" state="visible" r:id="rId32"/>
    <sheet name="W30" sheetId="33" state="visible" r:id="rId33"/>
    <sheet name="W31" sheetId="34" state="visible" r:id="rId34"/>
    <sheet name="W32" sheetId="35" state="visible" r:id="rId35"/>
    <sheet name="W33" sheetId="36" state="visible" r:id="rId36"/>
    <sheet name="W34" sheetId="37" state="visible" r:id="rId37"/>
    <sheet name="W35" sheetId="38" state="visible" r:id="rId38"/>
    <sheet name="W36" sheetId="39" state="visible" r:id="rId39"/>
    <sheet name="W37" sheetId="40" state="visible" r:id="rId40"/>
    <sheet name="W38" sheetId="41" state="visible" r:id="rId41"/>
    <sheet name="W39" sheetId="42" state="visible" r:id="rId42"/>
    <sheet name="W40" sheetId="43" state="visible" r:id="rId43"/>
    <sheet name="W41" sheetId="44" state="visible" r:id="rId44"/>
    <sheet name="W42" sheetId="45" state="visible" r:id="rId45"/>
    <sheet name="W43" sheetId="46" state="visible" r:id="rId46"/>
    <sheet name="W44" sheetId="47" state="visible" r:id="rId47"/>
    <sheet name="W45" sheetId="48" state="visible" r:id="rId48"/>
    <sheet name="W46" sheetId="49" state="visible" r:id="rId49"/>
    <sheet name="W47" sheetId="50" state="visible" r:id="rId50"/>
    <sheet name="W48" sheetId="51" state="visible" r:id="rId51"/>
    <sheet name="W49" sheetId="52" state="visible" r:id="rId52"/>
    <sheet name="W50" sheetId="53" state="visible" r:id="rId53"/>
    <sheet name="W51" sheetId="54" state="visible" r:id="rId54"/>
    <sheet name="W52" sheetId="55" state="visible" r:id="rId55"/>
    <sheet name="Engine" sheetId="56" state="hidden" r:id="rId56"/>
  </sheets>
  <definedNames>
    <definedName name="_xlnm.Print_Area" localSheetId="0">'Today'!$A$1:$G$26</definedName>
    <definedName name="_xlnm.Print_Area" localSheetId="1">'Start Here'!$A$1:$M$29</definedName>
    <definedName name="_xlnm.Print_Area" localSheetId="2">'Dashboard'!$A$1:$T$47</definedName>
    <definedName name="_xlnm.Print_Area" localSheetId="3">'W01'!$A$1:$O$27</definedName>
    <definedName name="_xlnm.Print_Area" localSheetId="4">'W02'!$A$1:$O$27</definedName>
    <definedName name="_xlnm.Print_Area" localSheetId="5">'W03'!$A$1:$O$27</definedName>
    <definedName name="_xlnm.Print_Area" localSheetId="6">'W04'!$A$1:$O$27</definedName>
    <definedName name="_xlnm.Print_Area" localSheetId="7">'W05'!$A$1:$O$27</definedName>
    <definedName name="_xlnm.Print_Area" localSheetId="8">'W06'!$A$1:$O$27</definedName>
    <definedName name="_xlnm.Print_Area" localSheetId="9">'W07'!$A$1:$O$27</definedName>
    <definedName name="_xlnm.Print_Area" localSheetId="10">'W08'!$A$1:$O$27</definedName>
    <definedName name="_xlnm.Print_Area" localSheetId="11">'W09'!$A$1:$O$27</definedName>
    <definedName name="_xlnm.Print_Area" localSheetId="12">'W10'!$A$1:$O$27</definedName>
    <definedName name="_xlnm.Print_Area" localSheetId="13">'W11'!$A$1:$O$27</definedName>
    <definedName name="_xlnm.Print_Area" localSheetId="14">'W12'!$A$1:$O$27</definedName>
    <definedName name="_xlnm.Print_Area" localSheetId="15">'W13'!$A$1:$O$27</definedName>
    <definedName name="_xlnm.Print_Area" localSheetId="16">'W14'!$A$1:$O$27</definedName>
    <definedName name="_xlnm.Print_Area" localSheetId="17">'W15'!$A$1:$O$27</definedName>
    <definedName name="_xlnm.Print_Area" localSheetId="18">'W16'!$A$1:$O$27</definedName>
    <definedName name="_xlnm.Print_Area" localSheetId="19">'W17'!$A$1:$O$27</definedName>
    <definedName name="_xlnm.Print_Area" localSheetId="20">'W18'!$A$1:$O$27</definedName>
    <definedName name="_xlnm.Print_Area" localSheetId="21">'W19'!$A$1:$O$27</definedName>
    <definedName name="_xlnm.Print_Area" localSheetId="22">'W20'!$A$1:$O$27</definedName>
    <definedName name="_xlnm.Print_Area" localSheetId="23">'W21'!$A$1:$O$27</definedName>
    <definedName name="_xlnm.Print_Area" localSheetId="24">'W22'!$A$1:$O$27</definedName>
    <definedName name="_xlnm.Print_Area" localSheetId="25">'W23'!$A$1:$O$27</definedName>
    <definedName name="_xlnm.Print_Area" localSheetId="26">'W24'!$A$1:$O$27</definedName>
    <definedName name="_xlnm.Print_Area" localSheetId="27">'W25'!$A$1:$O$27</definedName>
    <definedName name="_xlnm.Print_Area" localSheetId="28">'W26'!$A$1:$O$27</definedName>
    <definedName name="_xlnm.Print_Area" localSheetId="29">'W27'!$A$1:$O$27</definedName>
    <definedName name="_xlnm.Print_Area" localSheetId="30">'W28'!$A$1:$O$27</definedName>
    <definedName name="_xlnm.Print_Area" localSheetId="31">'W29'!$A$1:$O$27</definedName>
    <definedName name="_xlnm.Print_Area" localSheetId="32">'W30'!$A$1:$O$27</definedName>
    <definedName name="_xlnm.Print_Area" localSheetId="33">'W31'!$A$1:$O$27</definedName>
    <definedName name="_xlnm.Print_Area" localSheetId="34">'W32'!$A$1:$O$27</definedName>
    <definedName name="_xlnm.Print_Area" localSheetId="35">'W33'!$A$1:$O$27</definedName>
    <definedName name="_xlnm.Print_Area" localSheetId="36">'W34'!$A$1:$O$27</definedName>
    <definedName name="_xlnm.Print_Area" localSheetId="37">'W35'!$A$1:$O$27</definedName>
    <definedName name="_xlnm.Print_Area" localSheetId="38">'W36'!$A$1:$O$27</definedName>
    <definedName name="_xlnm.Print_Area" localSheetId="39">'W37'!$A$1:$O$27</definedName>
    <definedName name="_xlnm.Print_Area" localSheetId="40">'W38'!$A$1:$O$27</definedName>
    <definedName name="_xlnm.Print_Area" localSheetId="41">'W39'!$A$1:$O$27</definedName>
    <definedName name="_xlnm.Print_Area" localSheetId="42">'W40'!$A$1:$O$27</definedName>
    <definedName name="_xlnm.Print_Area" localSheetId="43">'W41'!$A$1:$O$27</definedName>
    <definedName name="_xlnm.Print_Area" localSheetId="44">'W42'!$A$1:$O$27</definedName>
    <definedName name="_xlnm.Print_Area" localSheetId="45">'W43'!$A$1:$O$27</definedName>
    <definedName name="_xlnm.Print_Area" localSheetId="46">'W44'!$A$1:$O$27</definedName>
    <definedName name="_xlnm.Print_Area" localSheetId="47">'W45'!$A$1:$O$27</definedName>
    <definedName name="_xlnm.Print_Area" localSheetId="48">'W46'!$A$1:$O$27</definedName>
    <definedName name="_xlnm.Print_Area" localSheetId="49">'W47'!$A$1:$O$27</definedName>
    <definedName name="_xlnm.Print_Area" localSheetId="50">'W48'!$A$1:$O$27</definedName>
    <definedName name="_xlnm.Print_Area" localSheetId="51">'W49'!$A$1:$O$27</definedName>
    <definedName name="_xlnm.Print_Area" localSheetId="52">'W50'!$A$1:$O$27</definedName>
    <definedName name="_xlnm.Print_Area" localSheetId="53">'W51'!$A$1:$O$27</definedName>
    <definedName name="_xlnm.Print_Area" localSheetId="54">'W52'!$A$1:$O$27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"/>
  </numFmts>
  <fonts count="18">
    <font>
      <name val="Calibri"/>
      <family val="2"/>
      <color theme="1"/>
      <sz val="11"/>
      <scheme val="minor"/>
    </font>
    <font>
      <name val="Calibri"/>
      <b val="1"/>
      <color rgb="004ADE80"/>
      <sz val="10"/>
      <u val="single"/>
    </font>
    <font>
      <name val="Calibri"/>
      <color rgb="00ECEFF3"/>
      <sz val="11"/>
    </font>
    <font>
      <name val="Calibri"/>
      <b val="1"/>
      <color rgb="008D97A5"/>
      <sz val="9"/>
    </font>
    <font>
      <name val="Calibri"/>
      <b val="1"/>
      <color rgb="00ECEFF3"/>
      <sz val="26"/>
    </font>
    <font>
      <name val="Calibri"/>
      <b val="1"/>
      <color rgb="00ECEFF3"/>
      <sz val="11"/>
    </font>
    <font>
      <name val="Calibri"/>
      <color rgb="008D97A5"/>
      <sz val="10"/>
    </font>
    <font>
      <name val="Calibri"/>
      <b val="1"/>
      <color rgb="00ECEFF3"/>
      <sz val="15"/>
    </font>
    <font>
      <name val="Calibri"/>
      <b val="1"/>
      <color rgb="008D97A5"/>
      <sz val="8"/>
    </font>
    <font>
      <name val="Calibri"/>
      <b val="1"/>
      <color rgb="008FE8B4"/>
      <sz val="12"/>
    </font>
    <font>
      <name val="Calibri"/>
      <b val="1"/>
      <color rgb="004ADE80"/>
      <sz val="11"/>
    </font>
    <font>
      <name val="Calibri"/>
      <color rgb="008D97A5"/>
      <sz val="9"/>
    </font>
    <font>
      <name val="Calibri"/>
      <b val="1"/>
      <color rgb="004ADE80"/>
      <sz val="9"/>
    </font>
    <font>
      <name val="Calibri"/>
      <b val="1"/>
      <color rgb="00ECEFF3"/>
      <sz val="22"/>
    </font>
    <font>
      <name val="Calibri"/>
      <b val="1"/>
      <color rgb="004ADE80"/>
      <sz val="22"/>
    </font>
    <font>
      <name val="Calibri"/>
      <b val="1"/>
      <color rgb="00F5C542"/>
      <sz val="11"/>
    </font>
    <font>
      <name val="Calibri"/>
      <b val="1"/>
      <color rgb="004ADE80"/>
      <sz val="9"/>
      <u val="single"/>
    </font>
    <font>
      <name val="Calibri"/>
      <color rgb="0012151A"/>
      <sz val="1"/>
    </font>
  </fonts>
  <fills count="7">
    <fill>
      <patternFill/>
    </fill>
    <fill>
      <patternFill patternType="gray125"/>
    </fill>
    <fill>
      <patternFill patternType="solid">
        <fgColor rgb="0012151A"/>
      </patternFill>
    </fill>
    <fill>
      <patternFill patternType="solid">
        <fgColor rgb="001B2E24"/>
      </patternFill>
    </fill>
    <fill>
      <patternFill patternType="solid">
        <fgColor rgb="00CBD8E6"/>
      </patternFill>
    </fill>
    <fill>
      <patternFill patternType="solid">
        <fgColor rgb="001A1F26"/>
      </patternFill>
    </fill>
    <fill>
      <patternFill patternType="solid">
        <fgColor rgb="0020262E"/>
      </patternFill>
    </fill>
  </fills>
  <borders count="6">
    <border>
      <left/>
      <right/>
      <top/>
      <bottom/>
      <diagonal/>
    </border>
    <border/>
    <border>
      <bottom style="thin">
        <color rgb="002C333D"/>
      </bottom>
    </border>
    <border>
      <left style="thin">
        <color rgb="002C333D"/>
      </left>
      <right style="thin">
        <color rgb="002C333D"/>
      </right>
      <top style="thin">
        <color rgb="002C333D"/>
      </top>
      <bottom style="thin">
        <color rgb="002C333D"/>
      </bottom>
    </border>
    <border>
      <bottom style="thin">
        <color rgb="004ADE80"/>
      </bottom>
    </border>
    <border>
      <left style="hair">
        <color rgb="002C333D"/>
      </left>
      <right style="hair">
        <color rgb="002C333D"/>
      </right>
      <top style="hair">
        <color rgb="002C333D"/>
      </top>
      <bottom style="hair">
        <color rgb="002C333D"/>
      </bottom>
    </border>
  </borders>
  <cellStyleXfs count="3">
    <xf numFmtId="0" fontId="2" fillId="2" borderId="0"/>
    <xf numFmtId="0" fontId="1" fillId="0" borderId="1"/>
    <xf numFmtId="0" fontId="1" fillId="0" borderId="1"/>
  </cellStyleXfs>
  <cellXfs count="59">
    <xf numFmtId="0" fontId="0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6" fillId="3" borderId="0" applyAlignment="1" pivotButton="0" quotePrefix="0" xfId="0">
      <alignment horizontal="left" vertical="center"/>
    </xf>
    <xf numFmtId="0" fontId="8" fillId="2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/>
    </xf>
    <xf numFmtId="0" fontId="1" fillId="4" borderId="3" applyAlignment="1" pivotButton="0" quotePrefix="0" xfId="0">
      <alignment horizontal="center" vertical="center"/>
    </xf>
    <xf numFmtId="0" fontId="0" fillId="4" borderId="3" pivotButton="0" quotePrefix="0" xfId="0"/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7" fillId="2" borderId="4" applyAlignment="1" pivotButton="0" quotePrefix="0" xfId="0">
      <alignment horizontal="left" vertical="center"/>
    </xf>
    <xf numFmtId="164" fontId="5" fillId="3" borderId="3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2" fillId="5" borderId="5" applyAlignment="1" pivotButton="0" quotePrefix="0" xfId="0">
      <alignment horizontal="left" vertical="center"/>
    </xf>
    <xf numFmtId="0" fontId="2" fillId="5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0" fontId="0" fillId="0" borderId="3" pivotButton="0" quotePrefix="0" xfId="0"/>
    <xf numFmtId="1" fontId="13" fillId="5" borderId="3" applyAlignment="1" pivotButton="0" quotePrefix="0" xfId="0">
      <alignment horizontal="center" vertical="center"/>
    </xf>
    <xf numFmtId="1" fontId="14" fillId="5" borderId="3" applyAlignment="1" pivotButton="0" quotePrefix="0" xfId="0">
      <alignment horizontal="center" vertical="center"/>
    </xf>
    <xf numFmtId="9" fontId="13" fillId="5" borderId="3" applyAlignment="1" pivotButton="0" quotePrefix="0" xfId="0">
      <alignment horizontal="center" vertical="center"/>
    </xf>
    <xf numFmtId="0" fontId="11" fillId="5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9" fontId="11" fillId="2" borderId="5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165" fontId="11" fillId="2" borderId="0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9" fontId="14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2" fillId="5" borderId="3" applyAlignment="1" pivotButton="0" quotePrefix="0" xfId="0">
      <alignment horizontal="left" vertical="top" wrapText="1"/>
    </xf>
    <xf numFmtId="0" fontId="8" fillId="0" borderId="0" pivotButton="0" quotePrefix="0" xfId="0"/>
    <xf numFmtId="0" fontId="11" fillId="0" borderId="0" pivotButton="0" quotePrefix="0" xfId="0"/>
    <xf numFmtId="164" fontId="0" fillId="0" borderId="0" pivotButton="0" quotePrefix="0" xfId="0"/>
  </cellXfs>
  <cellStyles count="3">
    <cellStyle name="Normal" xfId="0" builtinId="0" hidden="0"/>
    <cellStyle name="Hyperlink" xfId="1" builtinId="8" hidden="0"/>
    <cellStyle name="Followed Hyperlink" xfId="2" builtinId="9" hidden="0"/>
  </cellStyles>
  <dxfs count="7">
    <dxf>
      <fill>
        <patternFill patternType="solid">
          <fgColor rgb="0012151A"/>
        </patternFill>
      </fill>
      <border>
        <left style="thin">
          <color rgb="0012151A"/>
        </left>
        <right style="thin">
          <color rgb="0012151A"/>
        </right>
        <top style="thin">
          <color rgb="0012151A"/>
        </top>
        <bottom style="thin">
          <color rgb="0012151A"/>
        </bottom>
      </border>
    </dxf>
    <dxf>
      <font>
        <name val="Calibri"/>
        <b val="1"/>
        <color rgb="00F09A9A"/>
        <sz val="12"/>
      </font>
      <fill>
        <patternFill patternType="solid">
          <fgColor rgb="0044222A"/>
        </patternFill>
      </fill>
    </dxf>
    <dxf>
      <font>
        <name val="Calibri"/>
        <b val="1"/>
        <color rgb="008FE8B4"/>
        <sz val="12"/>
      </font>
      <fill>
        <patternFill patternType="solid">
          <fgColor rgb="001F4633"/>
        </patternFill>
      </fill>
    </dxf>
    <dxf>
      <font>
        <name val="Calibri"/>
        <b val="1"/>
        <color rgb="00F5C542"/>
        <sz val="12"/>
      </font>
      <fill>
        <patternFill patternType="solid">
          <fgColor rgb="00332C15"/>
        </patternFill>
      </fill>
    </dxf>
    <dxf>
      <font>
        <name val="Calibri"/>
        <b val="1"/>
        <color rgb="008FE8B4"/>
        <sz val="12"/>
      </font>
      <fill>
        <patternFill patternType="solid">
          <fgColor rgb="001B2E24"/>
        </patternFill>
      </fill>
    </dxf>
    <dxf>
      <font>
        <name val="Calibri"/>
        <b val="1"/>
        <color rgb="00ECEFF3"/>
        <sz val="9"/>
        <u val="single"/>
      </font>
      <fill>
        <patternFill patternType="solid">
          <fgColor rgb="008FE3B4"/>
        </patternFill>
      </fill>
    </dxf>
    <dxf>
      <font>
        <name val="Calibri"/>
        <b val="1"/>
        <color rgb="0012151A"/>
        <sz val="9"/>
      </font>
      <fill>
        <patternFill patternType="solid">
          <fgColor rgb="004ADE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J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9" customWidth="1" min="4" max="4"/>
    <col width="13" customWidth="1" min="5" max="5"/>
    <col width="22" customWidth="1" min="6" max="6"/>
    <col width="2" customWidth="1" min="7" max="7"/>
    <col width="2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MOMENTUM  ·  TODAY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3">
        <f>UPPER(TEXT(TODAY(),"dddd"))</f>
        <v/>
      </c>
      <c r="C3" s="1" t="n"/>
      <c r="D3" s="1" t="n"/>
      <c r="E3" s="4">
        <f>TEXT(TODAY(),"d mmmm yyyy")</f>
        <v/>
      </c>
      <c r="F3" s="1" t="n"/>
      <c r="G3" s="1" t="n"/>
      <c r="H3" s="1" t="n"/>
      <c r="I3" s="1" t="n"/>
      <c r="J3" s="1" t="n"/>
    </row>
    <row r="4">
      <c r="A4" s="1" t="n"/>
      <c r="B4" s="5">
        <f>IF(SUMPRODUCT(--(Engine!$Z$2:$Z$11&lt;&gt;""))=0,"Nothing is being tracked yet — open Start Here and name your habits.","You are in week "&amp;TEXT(MIN(52,MAX(1,INT((TODAY()-'Start Here'!$E$6)/7)+1)),"00")&amp;" of 52.")</f>
        <v/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6">
        <f>IF(SUMPRODUCT(--(Engine!$Z$2:$Z$11&lt;&gt;""))=0,"",IF(SUMPRODUCT(--(Engine!$AA$2:$AA$11&gt;0),--(Engine!$AD$2:$AD$11=0))=0,"Every live streak is already logged today. Nothing to lose tonight.",SUMPRODUCT(--(Engine!$AA$2:$AA$11&gt;0),--(Engine!$AD$2:$AD$11=0))&amp;IF(SUMPRODUCT(--(Engine!$AA$2:$AA$11&gt;0),--(Engine!$AD$2:$AD$11=0))=1," streak ends tonight unless you log it — "," streaks end tonight unless you log them — ")&amp;TEXT(TODAY(),"d mmm")&amp;"."))</f>
        <v/>
      </c>
      <c r="C6" s="7" t="n"/>
      <c r="D6" s="7" t="n"/>
      <c r="E6" s="7" t="n"/>
      <c r="F6" s="7" t="n"/>
      <c r="G6" s="1" t="n"/>
      <c r="H6" s="1" t="n"/>
      <c r="I6" s="1" t="n"/>
      <c r="J6" s="1" t="n"/>
    </row>
    <row r="7" ht="26" customHeight="1">
      <c r="A7" s="1" t="n"/>
      <c r="B7" s="8">
        <f>IF(SUMPRODUCT(--(Engine!$Z$2:$Z$11&lt;&gt;""))=0,"",TEXT(SUMPRODUCT(--(Engine!$Z$2:$Z$11&lt;&gt;""),--(Engine!$AD$2:$AD$11=1)),"0")&amp;" of "&amp;TEXT(SUMPRODUCT(--(Engine!$Z$2:$Z$11&lt;&gt;"")),"0")&amp;" habits logged today.")</f>
        <v/>
      </c>
      <c r="C7" s="7" t="n"/>
      <c r="D7" s="7" t="n"/>
      <c r="E7" s="7" t="n"/>
      <c r="F7" s="7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9" t="inlineStr">
        <is>
          <t>HABIT</t>
        </is>
      </c>
      <c r="C11" s="10" t="inlineStr">
        <is>
          <t>TODAY</t>
        </is>
      </c>
      <c r="D11" s="10" t="inlineStr">
        <is>
          <t>STREAK</t>
        </is>
      </c>
      <c r="E11" s="10" t="inlineStr">
        <is>
          <t>STATUS</t>
        </is>
      </c>
      <c r="F11" s="9" t="inlineStr">
        <is>
          <t>NEXT BADGE</t>
        </is>
      </c>
      <c r="G11" s="1" t="n"/>
      <c r="H11" s="1" t="n"/>
      <c r="I11" s="1" t="n"/>
      <c r="J11" s="1" t="n"/>
    </row>
    <row r="12" ht="22" customHeight="1">
      <c r="A12" s="1" t="n"/>
      <c r="B12" s="11">
        <f>IF('Start Here'!C11="","",'Start Here'!C11)</f>
        <v/>
      </c>
      <c r="C12" s="12">
        <f>IF($B12="","",IF(Engine!$AD$2=1,"✓","—"))</f>
        <v/>
      </c>
      <c r="D12" s="13">
        <f>IF($B12="","",Engine!$AA$2)</f>
        <v/>
      </c>
      <c r="E12" s="14">
        <f>IF($B12="","",IF(Engine!$AD$2=1,"logged",IF(Engine!$AA$2&gt;0,"AT RISK","not yet")))</f>
        <v/>
      </c>
      <c r="F12" s="15">
        <f>IF($B12="","",IF(Engine!$AE$2="","every badge earned",TEXT(Engine!$AE$2,"0")&amp;"-day badge in "&amp;TEXT(Engine!$AF$2,"0")&amp;" days"))</f>
        <v/>
      </c>
      <c r="G12" s="1" t="n"/>
      <c r="H12" s="1" t="n"/>
      <c r="I12" s="1" t="n"/>
      <c r="J12" s="1" t="n"/>
    </row>
    <row r="13" ht="22" customHeight="1">
      <c r="A13" s="1" t="n"/>
      <c r="B13" s="11">
        <f>IF('Start Here'!C12="","",'Start Here'!C12)</f>
        <v/>
      </c>
      <c r="C13" s="12">
        <f>IF($B13="","",IF(Engine!$AD$3=1,"✓","—"))</f>
        <v/>
      </c>
      <c r="D13" s="13">
        <f>IF($B13="","",Engine!$AA$3)</f>
        <v/>
      </c>
      <c r="E13" s="14">
        <f>IF($B13="","",IF(Engine!$AD$3=1,"logged",IF(Engine!$AA$3&gt;0,"AT RISK","not yet")))</f>
        <v/>
      </c>
      <c r="F13" s="15">
        <f>IF($B13="","",IF(Engine!$AE$3="","every badge earned",TEXT(Engine!$AE$3,"0")&amp;"-day badge in "&amp;TEXT(Engine!$AF$3,"0")&amp;" days"))</f>
        <v/>
      </c>
      <c r="G13" s="1" t="n"/>
      <c r="H13" s="1" t="n"/>
      <c r="I13" s="1" t="n"/>
      <c r="J13" s="1" t="n"/>
    </row>
    <row r="14" ht="22" customHeight="1">
      <c r="A14" s="1" t="n"/>
      <c r="B14" s="11">
        <f>IF('Start Here'!C13="","",'Start Here'!C13)</f>
        <v/>
      </c>
      <c r="C14" s="12">
        <f>IF($B14="","",IF(Engine!$AD$4=1,"✓","—"))</f>
        <v/>
      </c>
      <c r="D14" s="13">
        <f>IF($B14="","",Engine!$AA$4)</f>
        <v/>
      </c>
      <c r="E14" s="14">
        <f>IF($B14="","",IF(Engine!$AD$4=1,"logged",IF(Engine!$AA$4&gt;0,"AT RISK","not yet")))</f>
        <v/>
      </c>
      <c r="F14" s="15">
        <f>IF($B14="","",IF(Engine!$AE$4="","every badge earned",TEXT(Engine!$AE$4,"0")&amp;"-day badge in "&amp;TEXT(Engine!$AF$4,"0")&amp;" days"))</f>
        <v/>
      </c>
      <c r="G14" s="1" t="n"/>
      <c r="H14" s="1" t="n"/>
      <c r="I14" s="1" t="n"/>
      <c r="J14" s="1" t="n"/>
    </row>
    <row r="15" ht="22" customHeight="1">
      <c r="A15" s="1" t="n"/>
      <c r="B15" s="11">
        <f>IF('Start Here'!C14="","",'Start Here'!C14)</f>
        <v/>
      </c>
      <c r="C15" s="12">
        <f>IF($B15="","",IF(Engine!$AD$5=1,"✓","—"))</f>
        <v/>
      </c>
      <c r="D15" s="13">
        <f>IF($B15="","",Engine!$AA$5)</f>
        <v/>
      </c>
      <c r="E15" s="14">
        <f>IF($B15="","",IF(Engine!$AD$5=1,"logged",IF(Engine!$AA$5&gt;0,"AT RISK","not yet")))</f>
        <v/>
      </c>
      <c r="F15" s="15">
        <f>IF($B15="","",IF(Engine!$AE$5="","every badge earned",TEXT(Engine!$AE$5,"0")&amp;"-day badge in "&amp;TEXT(Engine!$AF$5,"0")&amp;" days"))</f>
        <v/>
      </c>
      <c r="G15" s="1" t="n"/>
      <c r="H15" s="1" t="n"/>
      <c r="I15" s="1" t="n"/>
      <c r="J15" s="1" t="n"/>
    </row>
    <row r="16" ht="22" customHeight="1">
      <c r="A16" s="1" t="n"/>
      <c r="B16" s="11">
        <f>IF('Start Here'!C15="","",'Start Here'!C15)</f>
        <v/>
      </c>
      <c r="C16" s="12">
        <f>IF($B16="","",IF(Engine!$AD$6=1,"✓","—"))</f>
        <v/>
      </c>
      <c r="D16" s="13">
        <f>IF($B16="","",Engine!$AA$6)</f>
        <v/>
      </c>
      <c r="E16" s="14">
        <f>IF($B16="","",IF(Engine!$AD$6=1,"logged",IF(Engine!$AA$6&gt;0,"AT RISK","not yet")))</f>
        <v/>
      </c>
      <c r="F16" s="15">
        <f>IF($B16="","",IF(Engine!$AE$6="","every badge earned",TEXT(Engine!$AE$6,"0")&amp;"-day badge in "&amp;TEXT(Engine!$AF$6,"0")&amp;" days"))</f>
        <v/>
      </c>
      <c r="G16" s="1" t="n"/>
      <c r="H16" s="1" t="n"/>
      <c r="I16" s="1" t="n"/>
      <c r="J16" s="1" t="n"/>
    </row>
    <row r="17" ht="22" customHeight="1">
      <c r="A17" s="1" t="n"/>
      <c r="B17" s="11">
        <f>IF('Start Here'!C16="","",'Start Here'!C16)</f>
        <v/>
      </c>
      <c r="C17" s="12">
        <f>IF($B17="","",IF(Engine!$AD$7=1,"✓","—"))</f>
        <v/>
      </c>
      <c r="D17" s="13">
        <f>IF($B17="","",Engine!$AA$7)</f>
        <v/>
      </c>
      <c r="E17" s="14">
        <f>IF($B17="","",IF(Engine!$AD$7=1,"logged",IF(Engine!$AA$7&gt;0,"AT RISK","not yet")))</f>
        <v/>
      </c>
      <c r="F17" s="15">
        <f>IF($B17="","",IF(Engine!$AE$7="","every badge earned",TEXT(Engine!$AE$7,"0")&amp;"-day badge in "&amp;TEXT(Engine!$AF$7,"0")&amp;" days"))</f>
        <v/>
      </c>
      <c r="G17" s="1" t="n"/>
      <c r="H17" s="1" t="n"/>
      <c r="I17" s="1" t="n"/>
      <c r="J17" s="1" t="n"/>
    </row>
    <row r="18" ht="22" customHeight="1">
      <c r="A18" s="1" t="n"/>
      <c r="B18" s="11">
        <f>IF('Start Here'!C17="","",'Start Here'!C17)</f>
        <v/>
      </c>
      <c r="C18" s="12">
        <f>IF($B18="","",IF(Engine!$AD$8=1,"✓","—"))</f>
        <v/>
      </c>
      <c r="D18" s="13">
        <f>IF($B18="","",Engine!$AA$8)</f>
        <v/>
      </c>
      <c r="E18" s="14">
        <f>IF($B18="","",IF(Engine!$AD$8=1,"logged",IF(Engine!$AA$8&gt;0,"AT RISK","not yet")))</f>
        <v/>
      </c>
      <c r="F18" s="15">
        <f>IF($B18="","",IF(Engine!$AE$8="","every badge earned",TEXT(Engine!$AE$8,"0")&amp;"-day badge in "&amp;TEXT(Engine!$AF$8,"0")&amp;" days"))</f>
        <v/>
      </c>
      <c r="G18" s="1" t="n"/>
      <c r="H18" s="1" t="n"/>
      <c r="I18" s="1" t="n"/>
      <c r="J18" s="1" t="n"/>
    </row>
    <row r="19" ht="22" customHeight="1">
      <c r="A19" s="1" t="n"/>
      <c r="B19" s="11">
        <f>IF('Start Here'!C18="","",'Start Here'!C18)</f>
        <v/>
      </c>
      <c r="C19" s="12">
        <f>IF($B19="","",IF(Engine!$AD$9=1,"✓","—"))</f>
        <v/>
      </c>
      <c r="D19" s="13">
        <f>IF($B19="","",Engine!$AA$9)</f>
        <v/>
      </c>
      <c r="E19" s="14">
        <f>IF($B19="","",IF(Engine!$AD$9=1,"logged",IF(Engine!$AA$9&gt;0,"AT RISK","not yet")))</f>
        <v/>
      </c>
      <c r="F19" s="15">
        <f>IF($B19="","",IF(Engine!$AE$9="","every badge earned",TEXT(Engine!$AE$9,"0")&amp;"-day badge in "&amp;TEXT(Engine!$AF$9,"0")&amp;" days"))</f>
        <v/>
      </c>
      <c r="G19" s="1" t="n"/>
      <c r="H19" s="1" t="n"/>
      <c r="I19" s="1" t="n"/>
      <c r="J19" s="1" t="n"/>
    </row>
    <row r="20" ht="22" customHeight="1">
      <c r="A20" s="1" t="n"/>
      <c r="B20" s="11">
        <f>IF('Start Here'!C19="","",'Start Here'!C19)</f>
        <v/>
      </c>
      <c r="C20" s="12">
        <f>IF($B20="","",IF(Engine!$AD$10=1,"✓","—"))</f>
        <v/>
      </c>
      <c r="D20" s="13">
        <f>IF($B20="","",Engine!$AA$10)</f>
        <v/>
      </c>
      <c r="E20" s="14">
        <f>IF($B20="","",IF(Engine!$AD$10=1,"logged",IF(Engine!$AA$10&gt;0,"AT RISK","not yet")))</f>
        <v/>
      </c>
      <c r="F20" s="15">
        <f>IF($B20="","",IF(Engine!$AE$10="","every badge earned",TEXT(Engine!$AE$10,"0")&amp;"-day badge in "&amp;TEXT(Engine!$AF$10,"0")&amp;" days"))</f>
        <v/>
      </c>
      <c r="G20" s="1" t="n"/>
      <c r="H20" s="1" t="n"/>
      <c r="I20" s="1" t="n"/>
      <c r="J20" s="1" t="n"/>
    </row>
    <row r="21" ht="22" customHeight="1">
      <c r="A21" s="1" t="n"/>
      <c r="B21" s="11">
        <f>IF('Start Here'!C20="","",'Start Here'!C20)</f>
        <v/>
      </c>
      <c r="C21" s="12">
        <f>IF($B21="","",IF(Engine!$AD$11=1,"✓","—"))</f>
        <v/>
      </c>
      <c r="D21" s="13">
        <f>IF($B21="","",Engine!$AA$11)</f>
        <v/>
      </c>
      <c r="E21" s="14">
        <f>IF($B21="","",IF(Engine!$AD$11=1,"logged",IF(Engine!$AA$11&gt;0,"AT RISK","not yet")))</f>
        <v/>
      </c>
      <c r="F21" s="15">
        <f>IF($B21="","",IF(Engine!$AE$11="","every badge earned",TEXT(Engine!$AE$11,"0")&amp;"-day badge in "&amp;TEXT(Engine!$AF$11,"0")&amp;" days"))</f>
        <v/>
      </c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5" t="inlineStr">
        <is>
          <t>Ticking happens in the week tabs:</t>
        </is>
      </c>
      <c r="C23" s="16" t="inlineStr">
        <is>
          <t>◆ DASHBOARD</t>
        </is>
      </c>
      <c r="D23" s="17" t="n"/>
      <c r="E23" s="16" t="inlineStr">
        <is>
          <t>◆ START HERE</t>
        </is>
      </c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8" t="inlineStr">
        <is>
          <t>The Dashboard highlights the week you are in — two taps to today.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</sheetData>
  <mergeCells count="3">
    <mergeCell ref="C23:D23"/>
    <mergeCell ref="B7:F7"/>
    <mergeCell ref="B6:F6"/>
  </mergeCells>
  <conditionalFormatting sqref="B12:F21">
    <cfRule type="expression" priority="1" dxfId="0" stopIfTrue="1">
      <formula>$B12=""</formula>
    </cfRule>
  </conditionalFormatting>
  <conditionalFormatting sqref="E12:E21">
    <cfRule type="cellIs" priority="2" operator="equal" dxfId="1" stopIfTrue="1">
      <formula>"AT RISK"</formula>
    </cfRule>
    <cfRule type="cellIs" priority="3" operator="equal" dxfId="2">
      <formula>"logged"</formula>
    </cfRule>
  </conditionalFormatting>
  <conditionalFormatting sqref="C12:C21">
    <cfRule type="cellIs" priority="4" operator="equal" dxfId="2">
      <formula>"✓"</formula>
    </cfRule>
  </conditionalFormatting>
  <hyperlinks>
    <hyperlink ref="C23" location="'Dashboard'!A1"/>
    <hyperlink ref="E23" location="'Start Here'!A1"/>
  </hyperlinks>
  <printOptions horizontalCentered="1"/>
  <pageMargins left="0.3" right="0.3" top="0.3" bottom="0.3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M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38" customWidth="1" min="3" max="3"/>
    <col width="3" customWidth="1" min="4" max="4"/>
    <col width="12" customWidth="1" min="5" max="5"/>
    <col width="3" customWidth="1" min="6" max="6"/>
    <col width="14" customWidth="1" min="7" max="7"/>
    <col width="3" customWidth="1" min="8" max="8"/>
    <col width="3" customWidth="1" min="9" max="9"/>
    <col width="30" customWidth="1" min="10" max="10"/>
    <col width="3" customWidth="1" min="11" max="11"/>
    <col width="3" customWidth="1" min="12" max="12"/>
    <col width="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3" t="inlineStr">
        <is>
          <t>MOMENTUM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0" customHeight="1">
      <c r="A3" s="1" t="n"/>
      <c r="B3" s="19" t="inlineStr">
        <is>
          <t>WEEKLY HABIT SYSTEM  ·  52 WEEKS  ·  10 HABITS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20" t="inlineStr">
        <is>
          <t>1  ·  SET YOUR START DATE</t>
        </is>
      </c>
      <c r="C5" s="1" t="n"/>
      <c r="D5" s="1" t="n"/>
      <c r="E5" s="1" t="n"/>
      <c r="F5" s="1" t="n"/>
      <c r="G5" s="1" t="n"/>
      <c r="H5" s="1" t="n"/>
      <c r="I5" s="1" t="n"/>
      <c r="J5" s="9" t="inlineStr">
        <is>
          <t>HOW IT WORKS</t>
        </is>
      </c>
      <c r="K5" s="1" t="n"/>
      <c r="L5" s="1" t="n"/>
      <c r="M5" s="1" t="n"/>
    </row>
    <row r="6">
      <c r="A6" s="1" t="n"/>
      <c r="B6" s="1" t="n"/>
      <c r="C6" s="5" t="inlineStr">
        <is>
          <t>Pick the Monday you want Week 01 to begin</t>
        </is>
      </c>
      <c r="D6" s="1" t="n"/>
      <c r="E6" s="21">
        <f>DATE(2026,1,5)</f>
        <v/>
      </c>
      <c r="F6" s="1" t="n"/>
      <c r="G6" s="18" t="inlineStr">
        <is>
          <t>◀ type here</t>
        </is>
      </c>
      <c r="H6" s="1" t="n"/>
      <c r="I6" s="1" t="n"/>
      <c r="J6" s="18" t="inlineStr">
        <is>
          <t>Every week has its own tab: W01 → W52.</t>
        </is>
      </c>
      <c r="K6" s="1" t="n"/>
      <c r="L6" s="1" t="n"/>
      <c r="M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8" t="inlineStr"/>
      <c r="K7" s="1" t="n"/>
      <c r="L7" s="1" t="n"/>
      <c r="M7" s="1" t="n"/>
    </row>
    <row r="8">
      <c r="A8" s="1" t="n"/>
      <c r="B8" s="20" t="inlineStr">
        <is>
          <t>2  ·  NAME YOUR HABITS</t>
        </is>
      </c>
      <c r="C8" s="1" t="n"/>
      <c r="D8" s="1" t="n"/>
      <c r="E8" s="1" t="n"/>
      <c r="F8" s="1" t="n"/>
      <c r="G8" s="1" t="n"/>
      <c r="H8" s="1" t="n"/>
      <c r="I8" s="1" t="n"/>
      <c r="J8" s="18" t="inlineStr">
        <is>
          <t>In a week tab, click a day cell and choose:</t>
        </is>
      </c>
      <c r="K8" s="1" t="n"/>
      <c r="L8" s="1" t="n"/>
      <c r="M8" s="1" t="n"/>
    </row>
    <row r="9">
      <c r="A9" s="1" t="n"/>
      <c r="B9" s="1" t="n"/>
      <c r="C9" s="5" t="inlineStr">
        <is>
          <t>Anything you leave blank simply disappears from the tracker.</t>
        </is>
      </c>
      <c r="D9" s="1" t="n"/>
      <c r="E9" s="1" t="n"/>
      <c r="F9" s="1" t="n"/>
      <c r="G9" s="1" t="n"/>
      <c r="H9" s="1" t="n"/>
      <c r="I9" s="1" t="n"/>
      <c r="J9" s="18" t="inlineStr">
        <is>
          <t xml:space="preserve">   ✓   did it</t>
        </is>
      </c>
      <c r="K9" s="1" t="n"/>
      <c r="L9" s="1" t="n"/>
      <c r="M9" s="1" t="n"/>
    </row>
    <row r="10">
      <c r="A10" s="1" t="n"/>
      <c r="B10" s="1" t="n"/>
      <c r="C10" s="9" t="inlineStr">
        <is>
          <t>HABIT</t>
        </is>
      </c>
      <c r="D10" s="1" t="n"/>
      <c r="E10" s="10" t="inlineStr">
        <is>
          <t>GOAL / WEEK</t>
        </is>
      </c>
      <c r="F10" s="1" t="n"/>
      <c r="G10" s="10" t="inlineStr">
        <is>
          <t>CURRENT STREAK</t>
        </is>
      </c>
      <c r="H10" s="1" t="n"/>
      <c r="I10" s="1" t="n"/>
      <c r="J10" s="18" t="inlineStr">
        <is>
          <t xml:space="preserve">   ✗   missed it on purpose</t>
        </is>
      </c>
      <c r="K10" s="1" t="n"/>
      <c r="L10" s="1" t="n"/>
      <c r="M10" s="1" t="n"/>
    </row>
    <row r="11" ht="20" customHeight="1">
      <c r="A11" s="1" t="n"/>
      <c r="B11" s="22" t="n">
        <v>1</v>
      </c>
      <c r="C11" s="23" t="inlineStr">
        <is>
          <t>Move my body 30 min</t>
        </is>
      </c>
      <c r="D11" s="1" t="n"/>
      <c r="E11" s="24" t="n">
        <v>5</v>
      </c>
      <c r="F11" s="1" t="n"/>
      <c r="G11" s="25">
        <f>IF($C11="","",Engine!$AA$2)</f>
        <v/>
      </c>
      <c r="H11" s="1" t="n"/>
      <c r="I11" s="1" t="n"/>
      <c r="J11" s="18" t="inlineStr">
        <is>
          <t>Leaving it blank also counts as a miss.</t>
        </is>
      </c>
      <c r="K11" s="1" t="n"/>
      <c r="L11" s="1" t="n"/>
      <c r="M11" s="1" t="n"/>
    </row>
    <row r="12" ht="20" customHeight="1">
      <c r="A12" s="1" t="n"/>
      <c r="B12" s="22" t="n">
        <v>2</v>
      </c>
      <c r="C12" s="23" t="inlineStr">
        <is>
          <t>Read 10 pages</t>
        </is>
      </c>
      <c r="D12" s="1" t="n"/>
      <c r="E12" s="24" t="n">
        <v>6</v>
      </c>
      <c r="F12" s="1" t="n"/>
      <c r="G12" s="25">
        <f>IF($C12="","",Engine!$AA$3)</f>
        <v/>
      </c>
      <c r="H12" s="1" t="n"/>
      <c r="I12" s="1" t="n"/>
      <c r="J12" s="18" t="inlineStr"/>
      <c r="K12" s="1" t="n"/>
      <c r="L12" s="1" t="n"/>
      <c r="M12" s="1" t="n"/>
    </row>
    <row r="13" ht="20" customHeight="1">
      <c r="A13" s="1" t="n"/>
      <c r="B13" s="22" t="n">
        <v>3</v>
      </c>
      <c r="C13" s="23" t="inlineStr">
        <is>
          <t>Lights out by 23:00</t>
        </is>
      </c>
      <c r="D13" s="1" t="n"/>
      <c r="E13" s="24" t="n">
        <v>5</v>
      </c>
      <c r="F13" s="1" t="n"/>
      <c r="G13" s="25">
        <f>IF($C13="","",Engine!$AA$4)</f>
        <v/>
      </c>
      <c r="H13" s="1" t="n"/>
      <c r="I13" s="1" t="n"/>
      <c r="J13" s="18" t="inlineStr">
        <is>
          <t>STREAK counts consecutive ✓ days and rolls</t>
        </is>
      </c>
      <c r="K13" s="1" t="n"/>
      <c r="L13" s="1" t="n"/>
      <c r="M13" s="1" t="n"/>
    </row>
    <row r="14" ht="20" customHeight="1">
      <c r="A14" s="1" t="n"/>
      <c r="B14" s="22" t="n">
        <v>4</v>
      </c>
      <c r="C14" s="23" t="inlineStr">
        <is>
          <t>Drink 2L water</t>
        </is>
      </c>
      <c r="D14" s="1" t="n"/>
      <c r="E14" s="24" t="n">
        <v>7</v>
      </c>
      <c r="F14" s="1" t="n"/>
      <c r="G14" s="25">
        <f>IF($C14="","",Engine!$AA$5)</f>
        <v/>
      </c>
      <c r="H14" s="1" t="n"/>
      <c r="I14" s="1" t="n"/>
      <c r="J14" s="18" t="inlineStr">
        <is>
          <t>straight across week tabs — miss one day and</t>
        </is>
      </c>
      <c r="K14" s="1" t="n"/>
      <c r="L14" s="1" t="n"/>
      <c r="M14" s="1" t="n"/>
    </row>
    <row r="15" ht="20" customHeight="1">
      <c r="A15" s="1" t="n"/>
      <c r="B15" s="22" t="n">
        <v>5</v>
      </c>
      <c r="C15" s="23" t="inlineStr">
        <is>
          <t>Plan tomorrow tonight</t>
        </is>
      </c>
      <c r="D15" s="1" t="n"/>
      <c r="E15" s="24" t="n">
        <v>5</v>
      </c>
      <c r="F15" s="1" t="n"/>
      <c r="G15" s="25">
        <f>IF($C15="","",Engine!$AA$6)</f>
        <v/>
      </c>
      <c r="H15" s="1" t="n"/>
      <c r="I15" s="1" t="n"/>
      <c r="J15" s="18" t="inlineStr">
        <is>
          <t>it resets to zero. That is the whole game.</t>
        </is>
      </c>
      <c r="K15" s="1" t="n"/>
      <c r="L15" s="1" t="n"/>
      <c r="M15" s="1" t="n"/>
    </row>
    <row r="16" ht="20" customHeight="1">
      <c r="A16" s="1" t="n"/>
      <c r="B16" s="22" t="n">
        <v>6</v>
      </c>
      <c r="C16" s="23" t="inlineStr"/>
      <c r="D16" s="1" t="n"/>
      <c r="E16" s="24" t="inlineStr"/>
      <c r="F16" s="1" t="n"/>
      <c r="G16" s="25">
        <f>IF($C16="","",Engine!$AA$7)</f>
        <v/>
      </c>
      <c r="H16" s="1" t="n"/>
      <c r="I16" s="1" t="n"/>
      <c r="J16" s="18" t="inlineStr"/>
      <c r="K16" s="1" t="n"/>
      <c r="L16" s="1" t="n"/>
      <c r="M16" s="1" t="n"/>
    </row>
    <row r="17" ht="20" customHeight="1">
      <c r="A17" s="1" t="n"/>
      <c r="B17" s="22" t="n">
        <v>7</v>
      </c>
      <c r="C17" s="23" t="inlineStr"/>
      <c r="D17" s="1" t="n"/>
      <c r="E17" s="24" t="inlineStr"/>
      <c r="F17" s="1" t="n"/>
      <c r="G17" s="25">
        <f>IF($C17="","",Engine!$AA$8)</f>
        <v/>
      </c>
      <c r="H17" s="1" t="n"/>
      <c r="I17" s="1" t="n"/>
      <c r="J17" s="18" t="inlineStr">
        <is>
          <t>Badges unlock automatically at 7, 30, 100 and</t>
        </is>
      </c>
      <c r="K17" s="1" t="n"/>
      <c r="L17" s="1" t="n"/>
      <c r="M17" s="1" t="n"/>
    </row>
    <row r="18" ht="20" customHeight="1">
      <c r="A18" s="1" t="n"/>
      <c r="B18" s="22" t="n">
        <v>8</v>
      </c>
      <c r="C18" s="23" t="inlineStr"/>
      <c r="D18" s="1" t="n"/>
      <c r="E18" s="24" t="inlineStr"/>
      <c r="F18" s="1" t="n"/>
      <c r="G18" s="25">
        <f>IF($C18="","",Engine!$AA$9)</f>
        <v/>
      </c>
      <c r="H18" s="1" t="n"/>
      <c r="I18" s="1" t="n"/>
      <c r="J18" s="18" t="inlineStr">
        <is>
          <t>365 days. They are based on your best streak,</t>
        </is>
      </c>
      <c r="K18" s="1" t="n"/>
      <c r="L18" s="1" t="n"/>
      <c r="M18" s="1" t="n"/>
    </row>
    <row r="19" ht="20" customHeight="1">
      <c r="A19" s="1" t="n"/>
      <c r="B19" s="22" t="n">
        <v>9</v>
      </c>
      <c r="C19" s="23" t="inlineStr"/>
      <c r="D19" s="1" t="n"/>
      <c r="E19" s="24" t="inlineStr"/>
      <c r="F19" s="1" t="n"/>
      <c r="G19" s="25">
        <f>IF($C19="","",Engine!$AA$10)</f>
        <v/>
      </c>
      <c r="H19" s="1" t="n"/>
      <c r="I19" s="1" t="n"/>
      <c r="J19" s="18" t="inlineStr">
        <is>
          <t>so a badge once earned is yours for good.</t>
        </is>
      </c>
      <c r="K19" s="1" t="n"/>
      <c r="L19" s="1" t="n"/>
      <c r="M19" s="1" t="n"/>
    </row>
    <row r="20" ht="20" customHeight="1">
      <c r="A20" s="1" t="n"/>
      <c r="B20" s="22" t="n">
        <v>10</v>
      </c>
      <c r="C20" s="23" t="inlineStr"/>
      <c r="D20" s="1" t="n"/>
      <c r="E20" s="24" t="inlineStr"/>
      <c r="F20" s="1" t="n"/>
      <c r="G20" s="25">
        <f>IF($C20="","",Engine!$AA$11)</f>
        <v/>
      </c>
      <c r="H20" s="1" t="n"/>
      <c r="I20" s="1" t="n"/>
      <c r="J20" s="18" t="inlineStr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8" t="inlineStr">
        <is>
          <t>Nothing here needs the internet, an account or</t>
        </is>
      </c>
      <c r="K21" s="1" t="n"/>
      <c r="L21" s="1" t="n"/>
      <c r="M21" s="1" t="n"/>
    </row>
    <row r="22">
      <c r="A22" s="1" t="n"/>
      <c r="B22" s="20" t="inlineStr">
        <is>
          <t>3  ·  START TRACKING</t>
        </is>
      </c>
      <c r="C22" s="1" t="n"/>
      <c r="D22" s="1" t="n"/>
      <c r="E22" s="1" t="n"/>
      <c r="F22" s="1" t="n"/>
      <c r="G22" s="1" t="n"/>
      <c r="H22" s="1" t="n"/>
      <c r="I22" s="1" t="n"/>
      <c r="J22" s="18" t="inlineStr">
        <is>
          <t>a subscription. The file is yours.</t>
        </is>
      </c>
      <c r="K22" s="1" t="n"/>
      <c r="L22" s="1" t="n"/>
      <c r="M22" s="1" t="n"/>
    </row>
    <row r="23">
      <c r="A23" s="1" t="n"/>
      <c r="B23" s="1" t="n"/>
      <c r="C23" s="5" t="inlineStr">
        <is>
          <t>Open your week, pick ✓ from the dropdown, done. Takes 20 seconds.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6" t="inlineStr">
        <is>
          <t>◆  OPEN DASHBOARD</t>
        </is>
      </c>
      <c r="D24" s="1" t="n"/>
      <c r="E24" s="16" t="inlineStr">
        <is>
          <t>▶  GO TO WEEK 01</t>
        </is>
      </c>
      <c r="F24" s="17" t="n"/>
      <c r="G24" s="17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6" t="inlineStr">
        <is>
          <t>TIP</t>
        </is>
      </c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5" t="inlineStr">
        <is>
          <t>Track 3 habits, not 10. Streaks die of ambition.</t>
        </is>
      </c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mergeCells count="1">
    <mergeCell ref="E24:G24"/>
  </mergeCells>
  <dataValidations count="1">
    <dataValidation sqref="E11:E20" showDropDown="0" showInputMessage="0" showErrorMessage="1" allowBlank="1" errorTitle="Goal must be 1-7" error="How many days a week do you want to hit this habit? Enter a number from 1 to 7." type="whole" operator="between">
      <formula1>1</formula1>
      <formula2>7</formula2>
    </dataValidation>
  </dataValidations>
  <hyperlinks>
    <hyperlink ref="C24" location="'Dashboard'!A1"/>
    <hyperlink ref="E24" location="'W01'!A1"/>
  </hyperlinks>
  <printOptions horizontalCentered="1"/>
  <pageMargins left="0.3" right="0.3" top="0.3" bottom="0.3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U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2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n"/>
      <c r="B2" s="1" t="n"/>
      <c r="C2" s="2" t="inlineStr">
        <is>
          <t>MOMENTUM  ·  WEEKLY HABIT SYSTEM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34" customHeight="1">
      <c r="A3" s="1" t="n"/>
      <c r="B3" s="1" t="n"/>
      <c r="C3" s="3" t="inlineStr">
        <is>
          <t>DASHBOARD</t>
        </is>
      </c>
      <c r="K3" s="1" t="n"/>
      <c r="L3" s="1" t="n"/>
      <c r="M3" s="1" t="n"/>
      <c r="N3" s="1" t="n"/>
      <c r="O3" s="1" t="n"/>
      <c r="P3" s="16" t="inlineStr">
        <is>
          <t>◆  START HERE</t>
        </is>
      </c>
      <c r="T3" s="1" t="n"/>
      <c r="U3" s="1" t="n"/>
    </row>
    <row r="4">
      <c r="A4" s="1" t="n"/>
      <c r="B4" s="1" t="n"/>
      <c r="C4" s="5" t="inlineStr">
        <is>
          <t>Everything on this page fills itself in. You only ever tick boxes in the week tabs.</t>
        </is>
      </c>
      <c r="M4" s="1" t="n"/>
      <c r="N4" s="1" t="n"/>
      <c r="O4" s="1" t="n"/>
      <c r="P4" s="16" t="inlineStr">
        <is>
          <t>▶  WEEK 01</t>
        </is>
      </c>
      <c r="T4" s="1" t="n"/>
      <c r="U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1" t="n"/>
      <c r="C6" s="27" t="inlineStr">
        <is>
          <t>TOTAL CHECK-INS</t>
        </is>
      </c>
      <c r="D6" s="28" t="n"/>
      <c r="E6" s="28" t="n"/>
      <c r="F6" s="28" t="n"/>
      <c r="G6" s="27" t="inlineStr">
        <is>
          <t>BEST STREAK</t>
        </is>
      </c>
      <c r="H6" s="28" t="n"/>
      <c r="I6" s="28" t="n"/>
      <c r="J6" s="28" t="n"/>
      <c r="K6" s="27" t="inlineStr">
        <is>
          <t>STREAKS ALIVE</t>
        </is>
      </c>
      <c r="L6" s="28" t="n"/>
      <c r="M6" s="28" t="n"/>
      <c r="N6" s="28" t="n"/>
      <c r="O6" s="27" t="inlineStr">
        <is>
          <t>YEAR PROGRESS</t>
        </is>
      </c>
      <c r="P6" s="28" t="n"/>
      <c r="Q6" s="28" t="n"/>
      <c r="R6" s="28" t="n"/>
      <c r="S6" s="1" t="n"/>
      <c r="T6" s="1" t="n"/>
      <c r="U6" s="1" t="n"/>
    </row>
    <row r="7" ht="32" customHeight="1">
      <c r="A7" s="1" t="n"/>
      <c r="B7" s="1" t="n"/>
      <c r="C7" s="29">
        <f>SUM(Engine!$AC$2:$AC$11)</f>
        <v/>
      </c>
      <c r="D7" s="28" t="n"/>
      <c r="E7" s="28" t="n"/>
      <c r="F7" s="28" t="n"/>
      <c r="G7" s="30">
        <f>MAX(Engine!$AB$2:$AB$11)</f>
        <v/>
      </c>
      <c r="H7" s="28" t="n"/>
      <c r="I7" s="28" t="n"/>
      <c r="J7" s="28" t="n"/>
      <c r="K7" s="30">
        <f>SUMPRODUCT(--(Engine!$AA$2:$AA$11&gt;0))</f>
        <v/>
      </c>
      <c r="L7" s="28" t="n"/>
      <c r="M7" s="28" t="n"/>
      <c r="N7" s="28" t="n"/>
      <c r="O7" s="31">
        <f>IFERROR(MAX(0,MIN(1,(TODAY()-'Start Here'!$E$6+1)/364)),"")</f>
        <v/>
      </c>
      <c r="P7" s="28" t="n"/>
      <c r="Q7" s="28" t="n"/>
      <c r="R7" s="28" t="n"/>
      <c r="S7" s="1" t="n"/>
      <c r="T7" s="1" t="n"/>
      <c r="U7" s="1" t="n"/>
    </row>
    <row r="8">
      <c r="A8" s="1" t="n"/>
      <c r="B8" s="1" t="n"/>
      <c r="C8" s="32" t="inlineStr">
        <is>
          <t>days ticked since day one</t>
        </is>
      </c>
      <c r="D8" s="28" t="n"/>
      <c r="E8" s="28" t="n"/>
      <c r="F8" s="28" t="n"/>
      <c r="G8" s="32" t="inlineStr">
        <is>
          <t>your longest unbroken run</t>
        </is>
      </c>
      <c r="H8" s="28" t="n"/>
      <c r="I8" s="28" t="n"/>
      <c r="J8" s="28" t="n"/>
      <c r="K8" s="32" t="inlineStr">
        <is>
          <t>habits still running today</t>
        </is>
      </c>
      <c r="L8" s="28" t="n"/>
      <c r="M8" s="28" t="n"/>
      <c r="N8" s="28" t="n"/>
      <c r="O8" s="32" t="inlineStr">
        <is>
          <t>of your 52 weeks</t>
        </is>
      </c>
      <c r="P8" s="28" t="n"/>
      <c r="Q8" s="28" t="n"/>
      <c r="R8" s="28" t="n"/>
      <c r="S8" s="1" t="n"/>
      <c r="T8" s="1" t="n"/>
      <c r="U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33" t="inlineStr">
        <is>
          <t>YOUR HABITS</t>
        </is>
      </c>
      <c r="I11" s="1" t="n"/>
      <c r="J11" s="1" t="n"/>
      <c r="K11" s="1" t="n"/>
      <c r="L11" s="1" t="n"/>
      <c r="M11" s="1" t="n"/>
      <c r="N11" s="1" t="n"/>
      <c r="O11" s="34" t="inlineStr">
        <is>
          <t>MILESTONES  (best streak)</t>
        </is>
      </c>
      <c r="S11" s="1" t="n"/>
      <c r="T11" s="1" t="n"/>
      <c r="U11" s="1" t="n"/>
    </row>
    <row r="12" ht="18" customHeight="1">
      <c r="A12" s="1" t="n"/>
      <c r="B12" s="1" t="n"/>
      <c r="C12" s="9" t="inlineStr">
        <is>
          <t>HABIT</t>
        </is>
      </c>
      <c r="I12" s="10" t="inlineStr">
        <is>
          <t>DONE</t>
        </is>
      </c>
      <c r="K12" s="10" t="inlineStr">
        <is>
          <t>CURRENT</t>
        </is>
      </c>
      <c r="M12" s="10" t="inlineStr">
        <is>
          <t>BEST</t>
        </is>
      </c>
      <c r="O12" s="10" t="inlineStr">
        <is>
          <t>7</t>
        </is>
      </c>
      <c r="P12" s="10" t="inlineStr">
        <is>
          <t>30</t>
        </is>
      </c>
      <c r="Q12" s="10" t="inlineStr">
        <is>
          <t>100</t>
        </is>
      </c>
      <c r="R12" s="10" t="inlineStr">
        <is>
          <t>365</t>
        </is>
      </c>
      <c r="S12" s="1" t="n"/>
      <c r="T12" s="1" t="n"/>
      <c r="U12" s="1" t="n"/>
    </row>
    <row r="13" ht="21" customHeight="1">
      <c r="A13" s="1" t="n"/>
      <c r="B13" s="1" t="n"/>
      <c r="C13" s="11">
        <f>IF('Start Here'!C11="","",'Start Here'!C11)</f>
        <v/>
      </c>
      <c r="I13" s="35">
        <f>IF($C13="","",Engine!$AC$2)</f>
        <v/>
      </c>
      <c r="K13" s="13">
        <f>IF($C13="","",Engine!$AA$2)</f>
        <v/>
      </c>
      <c r="M13" s="36">
        <f>IF($C13="","",Engine!$AB$2)</f>
        <v/>
      </c>
      <c r="O13" s="37">
        <f>IF($C13="","",IF(Engine!$AB$2&gt;=7,"✔","·"))</f>
        <v/>
      </c>
      <c r="P13" s="37">
        <f>IF($C13="","",IF(Engine!$AB$2&gt;=30,"✔","·"))</f>
        <v/>
      </c>
      <c r="Q13" s="37">
        <f>IF($C13="","",IF(Engine!$AB$2&gt;=100,"✔","·"))</f>
        <v/>
      </c>
      <c r="R13" s="37">
        <f>IF($C13="","",IF(Engine!$AB$2&gt;=365,"✔","·"))</f>
        <v/>
      </c>
      <c r="S13" s="1" t="n"/>
      <c r="T13" s="1" t="n"/>
      <c r="U13" s="1" t="n"/>
    </row>
    <row r="14" ht="21" customHeight="1">
      <c r="A14" s="1" t="n"/>
      <c r="B14" s="1" t="n"/>
      <c r="C14" s="11">
        <f>IF('Start Here'!C12="","",'Start Here'!C12)</f>
        <v/>
      </c>
      <c r="I14" s="35">
        <f>IF($C14="","",Engine!$AC$3)</f>
        <v/>
      </c>
      <c r="K14" s="13">
        <f>IF($C14="","",Engine!$AA$3)</f>
        <v/>
      </c>
      <c r="M14" s="36">
        <f>IF($C14="","",Engine!$AB$3)</f>
        <v/>
      </c>
      <c r="O14" s="37">
        <f>IF($C14="","",IF(Engine!$AB$3&gt;=7,"✔","·"))</f>
        <v/>
      </c>
      <c r="P14" s="37">
        <f>IF($C14="","",IF(Engine!$AB$3&gt;=30,"✔","·"))</f>
        <v/>
      </c>
      <c r="Q14" s="37">
        <f>IF($C14="","",IF(Engine!$AB$3&gt;=100,"✔","·"))</f>
        <v/>
      </c>
      <c r="R14" s="37">
        <f>IF($C14="","",IF(Engine!$AB$3&gt;=365,"✔","·"))</f>
        <v/>
      </c>
      <c r="S14" s="1" t="n"/>
      <c r="T14" s="1" t="n"/>
      <c r="U14" s="1" t="n"/>
    </row>
    <row r="15" ht="21" customHeight="1">
      <c r="A15" s="1" t="n"/>
      <c r="B15" s="1" t="n"/>
      <c r="C15" s="11">
        <f>IF('Start Here'!C13="","",'Start Here'!C13)</f>
        <v/>
      </c>
      <c r="I15" s="35">
        <f>IF($C15="","",Engine!$AC$4)</f>
        <v/>
      </c>
      <c r="K15" s="13">
        <f>IF($C15="","",Engine!$AA$4)</f>
        <v/>
      </c>
      <c r="M15" s="36">
        <f>IF($C15="","",Engine!$AB$4)</f>
        <v/>
      </c>
      <c r="O15" s="37">
        <f>IF($C15="","",IF(Engine!$AB$4&gt;=7,"✔","·"))</f>
        <v/>
      </c>
      <c r="P15" s="37">
        <f>IF($C15="","",IF(Engine!$AB$4&gt;=30,"✔","·"))</f>
        <v/>
      </c>
      <c r="Q15" s="37">
        <f>IF($C15="","",IF(Engine!$AB$4&gt;=100,"✔","·"))</f>
        <v/>
      </c>
      <c r="R15" s="37">
        <f>IF($C15="","",IF(Engine!$AB$4&gt;=365,"✔","·"))</f>
        <v/>
      </c>
      <c r="S15" s="1" t="n"/>
      <c r="T15" s="1" t="n"/>
      <c r="U15" s="1" t="n"/>
    </row>
    <row r="16" ht="21" customHeight="1">
      <c r="A16" s="1" t="n"/>
      <c r="B16" s="1" t="n"/>
      <c r="C16" s="11">
        <f>IF('Start Here'!C14="","",'Start Here'!C14)</f>
        <v/>
      </c>
      <c r="I16" s="35">
        <f>IF($C16="","",Engine!$AC$5)</f>
        <v/>
      </c>
      <c r="K16" s="13">
        <f>IF($C16="","",Engine!$AA$5)</f>
        <v/>
      </c>
      <c r="M16" s="36">
        <f>IF($C16="","",Engine!$AB$5)</f>
        <v/>
      </c>
      <c r="O16" s="37">
        <f>IF($C16="","",IF(Engine!$AB$5&gt;=7,"✔","·"))</f>
        <v/>
      </c>
      <c r="P16" s="37">
        <f>IF($C16="","",IF(Engine!$AB$5&gt;=30,"✔","·"))</f>
        <v/>
      </c>
      <c r="Q16" s="37">
        <f>IF($C16="","",IF(Engine!$AB$5&gt;=100,"✔","·"))</f>
        <v/>
      </c>
      <c r="R16" s="37">
        <f>IF($C16="","",IF(Engine!$AB$5&gt;=365,"✔","·"))</f>
        <v/>
      </c>
      <c r="S16" s="1" t="n"/>
      <c r="T16" s="1" t="n"/>
      <c r="U16" s="1" t="n"/>
    </row>
    <row r="17" ht="21" customHeight="1">
      <c r="A17" s="1" t="n"/>
      <c r="B17" s="1" t="n"/>
      <c r="C17" s="11">
        <f>IF('Start Here'!C15="","",'Start Here'!C15)</f>
        <v/>
      </c>
      <c r="I17" s="35">
        <f>IF($C17="","",Engine!$AC$6)</f>
        <v/>
      </c>
      <c r="K17" s="13">
        <f>IF($C17="","",Engine!$AA$6)</f>
        <v/>
      </c>
      <c r="M17" s="36">
        <f>IF($C17="","",Engine!$AB$6)</f>
        <v/>
      </c>
      <c r="O17" s="37">
        <f>IF($C17="","",IF(Engine!$AB$6&gt;=7,"✔","·"))</f>
        <v/>
      </c>
      <c r="P17" s="37">
        <f>IF($C17="","",IF(Engine!$AB$6&gt;=30,"✔","·"))</f>
        <v/>
      </c>
      <c r="Q17" s="37">
        <f>IF($C17="","",IF(Engine!$AB$6&gt;=100,"✔","·"))</f>
        <v/>
      </c>
      <c r="R17" s="37">
        <f>IF($C17="","",IF(Engine!$AB$6&gt;=365,"✔","·"))</f>
        <v/>
      </c>
      <c r="S17" s="1" t="n"/>
      <c r="T17" s="1" t="n"/>
      <c r="U17" s="1" t="n"/>
    </row>
    <row r="18" ht="21" customHeight="1">
      <c r="A18" s="1" t="n"/>
      <c r="B18" s="1" t="n"/>
      <c r="C18" s="11">
        <f>IF('Start Here'!C16="","",'Start Here'!C16)</f>
        <v/>
      </c>
      <c r="I18" s="35">
        <f>IF($C18="","",Engine!$AC$7)</f>
        <v/>
      </c>
      <c r="K18" s="13">
        <f>IF($C18="","",Engine!$AA$7)</f>
        <v/>
      </c>
      <c r="M18" s="36">
        <f>IF($C18="","",Engine!$AB$7)</f>
        <v/>
      </c>
      <c r="O18" s="37">
        <f>IF($C18="","",IF(Engine!$AB$7&gt;=7,"✔","·"))</f>
        <v/>
      </c>
      <c r="P18" s="37">
        <f>IF($C18="","",IF(Engine!$AB$7&gt;=30,"✔","·"))</f>
        <v/>
      </c>
      <c r="Q18" s="37">
        <f>IF($C18="","",IF(Engine!$AB$7&gt;=100,"✔","·"))</f>
        <v/>
      </c>
      <c r="R18" s="37">
        <f>IF($C18="","",IF(Engine!$AB$7&gt;=365,"✔","·"))</f>
        <v/>
      </c>
      <c r="S18" s="1" t="n"/>
      <c r="T18" s="1" t="n"/>
      <c r="U18" s="1" t="n"/>
    </row>
    <row r="19" ht="21" customHeight="1">
      <c r="A19" s="1" t="n"/>
      <c r="B19" s="1" t="n"/>
      <c r="C19" s="11">
        <f>IF('Start Here'!C17="","",'Start Here'!C17)</f>
        <v/>
      </c>
      <c r="I19" s="35">
        <f>IF($C19="","",Engine!$AC$8)</f>
        <v/>
      </c>
      <c r="K19" s="13">
        <f>IF($C19="","",Engine!$AA$8)</f>
        <v/>
      </c>
      <c r="M19" s="36">
        <f>IF($C19="","",Engine!$AB$8)</f>
        <v/>
      </c>
      <c r="O19" s="37">
        <f>IF($C19="","",IF(Engine!$AB$8&gt;=7,"✔","·"))</f>
        <v/>
      </c>
      <c r="P19" s="37">
        <f>IF($C19="","",IF(Engine!$AB$8&gt;=30,"✔","·"))</f>
        <v/>
      </c>
      <c r="Q19" s="37">
        <f>IF($C19="","",IF(Engine!$AB$8&gt;=100,"✔","·"))</f>
        <v/>
      </c>
      <c r="R19" s="37">
        <f>IF($C19="","",IF(Engine!$AB$8&gt;=365,"✔","·"))</f>
        <v/>
      </c>
      <c r="S19" s="1" t="n"/>
      <c r="T19" s="1" t="n"/>
      <c r="U19" s="1" t="n"/>
    </row>
    <row r="20" ht="21" customHeight="1">
      <c r="A20" s="1" t="n"/>
      <c r="B20" s="1" t="n"/>
      <c r="C20" s="11">
        <f>IF('Start Here'!C18="","",'Start Here'!C18)</f>
        <v/>
      </c>
      <c r="I20" s="35">
        <f>IF($C20="","",Engine!$AC$9)</f>
        <v/>
      </c>
      <c r="K20" s="13">
        <f>IF($C20="","",Engine!$AA$9)</f>
        <v/>
      </c>
      <c r="M20" s="36">
        <f>IF($C20="","",Engine!$AB$9)</f>
        <v/>
      </c>
      <c r="O20" s="37">
        <f>IF($C20="","",IF(Engine!$AB$9&gt;=7,"✔","·"))</f>
        <v/>
      </c>
      <c r="P20" s="37">
        <f>IF($C20="","",IF(Engine!$AB$9&gt;=30,"✔","·"))</f>
        <v/>
      </c>
      <c r="Q20" s="37">
        <f>IF($C20="","",IF(Engine!$AB$9&gt;=100,"✔","·"))</f>
        <v/>
      </c>
      <c r="R20" s="37">
        <f>IF($C20="","",IF(Engine!$AB$9&gt;=365,"✔","·"))</f>
        <v/>
      </c>
      <c r="S20" s="1" t="n"/>
      <c r="T20" s="1" t="n"/>
      <c r="U20" s="1" t="n"/>
    </row>
    <row r="21" ht="21" customHeight="1">
      <c r="A21" s="1" t="n"/>
      <c r="B21" s="1" t="n"/>
      <c r="C21" s="11">
        <f>IF('Start Here'!C19="","",'Start Here'!C19)</f>
        <v/>
      </c>
      <c r="I21" s="35">
        <f>IF($C21="","",Engine!$AC$10)</f>
        <v/>
      </c>
      <c r="K21" s="13">
        <f>IF($C21="","",Engine!$AA$10)</f>
        <v/>
      </c>
      <c r="M21" s="36">
        <f>IF($C21="","",Engine!$AB$10)</f>
        <v/>
      </c>
      <c r="O21" s="37">
        <f>IF($C21="","",IF(Engine!$AB$10&gt;=7,"✔","·"))</f>
        <v/>
      </c>
      <c r="P21" s="37">
        <f>IF($C21="","",IF(Engine!$AB$10&gt;=30,"✔","·"))</f>
        <v/>
      </c>
      <c r="Q21" s="37">
        <f>IF($C21="","",IF(Engine!$AB$10&gt;=100,"✔","·"))</f>
        <v/>
      </c>
      <c r="R21" s="37">
        <f>IF($C21="","",IF(Engine!$AB$10&gt;=365,"✔","·"))</f>
        <v/>
      </c>
      <c r="S21" s="1" t="n"/>
      <c r="T21" s="1" t="n"/>
      <c r="U21" s="1" t="n"/>
    </row>
    <row r="22" ht="21" customHeight="1">
      <c r="A22" s="1" t="n"/>
      <c r="B22" s="1" t="n"/>
      <c r="C22" s="11">
        <f>IF('Start Here'!C20="","",'Start Here'!C20)</f>
        <v/>
      </c>
      <c r="I22" s="35">
        <f>IF($C22="","",Engine!$AC$11)</f>
        <v/>
      </c>
      <c r="K22" s="13">
        <f>IF($C22="","",Engine!$AA$11)</f>
        <v/>
      </c>
      <c r="M22" s="36">
        <f>IF($C22="","",Engine!$AB$11)</f>
        <v/>
      </c>
      <c r="O22" s="37">
        <f>IF($C22="","",IF(Engine!$AB$11&gt;=7,"✔","·"))</f>
        <v/>
      </c>
      <c r="P22" s="37">
        <f>IF($C22="","",IF(Engine!$AB$11&gt;=30,"✔","·"))</f>
        <v/>
      </c>
      <c r="Q22" s="37">
        <f>IF($C22="","",IF(Engine!$AB$11&gt;=100,"✔","·"))</f>
        <v/>
      </c>
      <c r="R22" s="37">
        <f>IF($C22="","",IF(Engine!$AB$11&gt;=365,"✔","·"))</f>
        <v/>
      </c>
      <c r="S22" s="1" t="n"/>
      <c r="T22" s="1" t="n"/>
      <c r="U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1" t="n"/>
      <c r="C25" s="33" t="inlineStr">
        <is>
          <t>THE YEAR AT A GLANCE</t>
        </is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1" t="n"/>
      <c r="C26" s="5" t="inlineStr">
        <is>
          <t>Click a week to jump straight to it. The week you are in is highlighted; the number underneath is that week's score against your goals.</t>
        </is>
      </c>
      <c r="S26" s="1" t="n"/>
      <c r="T26" s="1" t="n"/>
      <c r="U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 ht="17" customHeight="1">
      <c r="A29" s="1" t="n"/>
      <c r="B29" s="1" t="n"/>
      <c r="C29" s="38" t="inlineStr">
        <is>
          <t>01</t>
        </is>
      </c>
      <c r="D29" s="38" t="inlineStr">
        <is>
          <t>02</t>
        </is>
      </c>
      <c r="E29" s="38" t="inlineStr">
        <is>
          <t>03</t>
        </is>
      </c>
      <c r="F29" s="38" t="inlineStr">
        <is>
          <t>04</t>
        </is>
      </c>
      <c r="G29" s="38" t="inlineStr">
        <is>
          <t>05</t>
        </is>
      </c>
      <c r="H29" s="38" t="inlineStr">
        <is>
          <t>06</t>
        </is>
      </c>
      <c r="I29" s="38" t="inlineStr">
        <is>
          <t>07</t>
        </is>
      </c>
      <c r="J29" s="38" t="inlineStr">
        <is>
          <t>08</t>
        </is>
      </c>
      <c r="K29" s="38" t="inlineStr">
        <is>
          <t>09</t>
        </is>
      </c>
      <c r="L29" s="38" t="inlineStr">
        <is>
          <t>10</t>
        </is>
      </c>
      <c r="M29" s="38" t="inlineStr">
        <is>
          <t>11</t>
        </is>
      </c>
      <c r="N29" s="38" t="inlineStr">
        <is>
          <t>12</t>
        </is>
      </c>
      <c r="O29" s="38" t="inlineStr">
        <is>
          <t>13</t>
        </is>
      </c>
      <c r="P29" s="1" t="n"/>
      <c r="Q29" s="1" t="n"/>
      <c r="R29" s="1" t="n"/>
      <c r="S29" s="1" t="n"/>
      <c r="T29" s="1" t="n"/>
      <c r="U29" s="1" t="n"/>
    </row>
    <row r="30" ht="15" customHeight="1">
      <c r="A30" s="1" t="n"/>
      <c r="B30" s="1" t="n"/>
      <c r="C30" s="39">
        <f>IF(OR(W01!$C$7&gt;TODAY(),SUM('Start Here'!$E$11:$E$20)=0),"",MIN(1,(COUNTA(W01!$C$9:$I$18)-COUNTIF(W01!$C$9:$I$18,"✗"))/SUM('Start Here'!$E$11:$E$20)))</f>
        <v/>
      </c>
      <c r="D30" s="39">
        <f>IF(OR(W02!$C$7&gt;TODAY(),SUM('Start Here'!$E$11:$E$20)=0),"",MIN(1,(COUNTA(W02!$C$9:$I$18)-COUNTIF(W02!$C$9:$I$18,"✗"))/SUM('Start Here'!$E$11:$E$20)))</f>
        <v/>
      </c>
      <c r="E30" s="39">
        <f>IF(OR(W03!$C$7&gt;TODAY(),SUM('Start Here'!$E$11:$E$20)=0),"",MIN(1,(COUNTA(W03!$C$9:$I$18)-COUNTIF(W03!$C$9:$I$18,"✗"))/SUM('Start Here'!$E$11:$E$20)))</f>
        <v/>
      </c>
      <c r="F30" s="39">
        <f>IF(OR(W04!$C$7&gt;TODAY(),SUM('Start Here'!$E$11:$E$20)=0),"",MIN(1,(COUNTA(W04!$C$9:$I$18)-COUNTIF(W04!$C$9:$I$18,"✗"))/SUM('Start Here'!$E$11:$E$20)))</f>
        <v/>
      </c>
      <c r="G30" s="39">
        <f>IF(OR(W05!$C$7&gt;TODAY(),SUM('Start Here'!$E$11:$E$20)=0),"",MIN(1,(COUNTA(W05!$C$9:$I$18)-COUNTIF(W05!$C$9:$I$18,"✗"))/SUM('Start Here'!$E$11:$E$20)))</f>
        <v/>
      </c>
      <c r="H30" s="39">
        <f>IF(OR(W06!$C$7&gt;TODAY(),SUM('Start Here'!$E$11:$E$20)=0),"",MIN(1,(COUNTA(W06!$C$9:$I$18)-COUNTIF(W06!$C$9:$I$18,"✗"))/SUM('Start Here'!$E$11:$E$20)))</f>
        <v/>
      </c>
      <c r="I30" s="39">
        <f>IF(OR(W07!$C$7&gt;TODAY(),SUM('Start Here'!$E$11:$E$20)=0),"",MIN(1,(COUNTA(W07!$C$9:$I$18)-COUNTIF(W07!$C$9:$I$18,"✗"))/SUM('Start Here'!$E$11:$E$20)))</f>
        <v/>
      </c>
      <c r="J30" s="39">
        <f>IF(OR(W08!$C$7&gt;TODAY(),SUM('Start Here'!$E$11:$E$20)=0),"",MIN(1,(COUNTA(W08!$C$9:$I$18)-COUNTIF(W08!$C$9:$I$18,"✗"))/SUM('Start Here'!$E$11:$E$20)))</f>
        <v/>
      </c>
      <c r="K30" s="39">
        <f>IF(OR(W09!$C$7&gt;TODAY(),SUM('Start Here'!$E$11:$E$20)=0),"",MIN(1,(COUNTA(W09!$C$9:$I$18)-COUNTIF(W09!$C$9:$I$18,"✗"))/SUM('Start Here'!$E$11:$E$20)))</f>
        <v/>
      </c>
      <c r="L30" s="39">
        <f>IF(OR(W10!$C$7&gt;TODAY(),SUM('Start Here'!$E$11:$E$20)=0),"",MIN(1,(COUNTA(W10!$C$9:$I$18)-COUNTIF(W10!$C$9:$I$18,"✗"))/SUM('Start Here'!$E$11:$E$20)))</f>
        <v/>
      </c>
      <c r="M30" s="39">
        <f>IF(OR(W11!$C$7&gt;TODAY(),SUM('Start Here'!$E$11:$E$20)=0),"",MIN(1,(COUNTA(W11!$C$9:$I$18)-COUNTIF(W11!$C$9:$I$18,"✗"))/SUM('Start Here'!$E$11:$E$20)))</f>
        <v/>
      </c>
      <c r="N30" s="39">
        <f>IF(OR(W12!$C$7&gt;TODAY(),SUM('Start Here'!$E$11:$E$20)=0),"",MIN(1,(COUNTA(W12!$C$9:$I$18)-COUNTIF(W12!$C$9:$I$18,"✗"))/SUM('Start Here'!$E$11:$E$20)))</f>
        <v/>
      </c>
      <c r="O30" s="39">
        <f>IF(OR(W13!$C$7&gt;TODAY(),SUM('Start Here'!$E$11:$E$20)=0),"",MIN(1,(COUNTA(W13!$C$9:$I$18)-COUNTIF(W13!$C$9:$I$18,"✗"))/SUM('Start Here'!$E$11:$E$20)))</f>
        <v/>
      </c>
      <c r="P30" s="1" t="n"/>
      <c r="Q30" s="1" t="n"/>
      <c r="R30" s="1" t="n"/>
      <c r="S30" s="1" t="n"/>
      <c r="T30" s="1" t="n"/>
      <c r="U30" s="1" t="n"/>
    </row>
    <row r="31" ht="3" customHeight="1">
      <c r="A31" s="1" t="n"/>
      <c r="B31" s="1" t="n"/>
      <c r="C31" s="40">
        <f>W01!$C$7</f>
        <v/>
      </c>
      <c r="D31" s="40">
        <f>W02!$C$7</f>
        <v/>
      </c>
      <c r="E31" s="40">
        <f>W03!$C$7</f>
        <v/>
      </c>
      <c r="F31" s="40">
        <f>W04!$C$7</f>
        <v/>
      </c>
      <c r="G31" s="40">
        <f>W05!$C$7</f>
        <v/>
      </c>
      <c r="H31" s="40">
        <f>W06!$C$7</f>
        <v/>
      </c>
      <c r="I31" s="40">
        <f>W07!$C$7</f>
        <v/>
      </c>
      <c r="J31" s="40">
        <f>W08!$C$7</f>
        <v/>
      </c>
      <c r="K31" s="40">
        <f>W09!$C$7</f>
        <v/>
      </c>
      <c r="L31" s="40">
        <f>W10!$C$7</f>
        <v/>
      </c>
      <c r="M31" s="40">
        <f>W11!$C$7</f>
        <v/>
      </c>
      <c r="N31" s="40">
        <f>W12!$C$7</f>
        <v/>
      </c>
      <c r="O31" s="40">
        <f>W13!$C$7</f>
        <v/>
      </c>
      <c r="P31" s="1" t="n"/>
      <c r="Q31" s="1" t="n"/>
      <c r="R31" s="1" t="n"/>
      <c r="S31" s="1" t="n"/>
      <c r="T31" s="1" t="n"/>
      <c r="U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 ht="17" customHeight="1">
      <c r="A33" s="1" t="n"/>
      <c r="B33" s="1" t="n"/>
      <c r="C33" s="38" t="inlineStr">
        <is>
          <t>14</t>
        </is>
      </c>
      <c r="D33" s="38" t="inlineStr">
        <is>
          <t>15</t>
        </is>
      </c>
      <c r="E33" s="38" t="inlineStr">
        <is>
          <t>16</t>
        </is>
      </c>
      <c r="F33" s="38" t="inlineStr">
        <is>
          <t>17</t>
        </is>
      </c>
      <c r="G33" s="38" t="inlineStr">
        <is>
          <t>18</t>
        </is>
      </c>
      <c r="H33" s="38" t="inlineStr">
        <is>
          <t>19</t>
        </is>
      </c>
      <c r="I33" s="38" t="inlineStr">
        <is>
          <t>20</t>
        </is>
      </c>
      <c r="J33" s="38" t="inlineStr">
        <is>
          <t>21</t>
        </is>
      </c>
      <c r="K33" s="38" t="inlineStr">
        <is>
          <t>22</t>
        </is>
      </c>
      <c r="L33" s="38" t="inlineStr">
        <is>
          <t>23</t>
        </is>
      </c>
      <c r="M33" s="38" t="inlineStr">
        <is>
          <t>24</t>
        </is>
      </c>
      <c r="N33" s="38" t="inlineStr">
        <is>
          <t>25</t>
        </is>
      </c>
      <c r="O33" s="38" t="inlineStr">
        <is>
          <t>26</t>
        </is>
      </c>
      <c r="P33" s="1" t="n"/>
      <c r="Q33" s="1" t="n"/>
      <c r="R33" s="1" t="n"/>
      <c r="S33" s="1" t="n"/>
      <c r="T33" s="1" t="n"/>
      <c r="U33" s="1" t="n"/>
    </row>
    <row r="34" ht="15" customHeight="1">
      <c r="A34" s="1" t="n"/>
      <c r="B34" s="1" t="n"/>
      <c r="C34" s="39">
        <f>IF(OR(W14!$C$7&gt;TODAY(),SUM('Start Here'!$E$11:$E$20)=0),"",MIN(1,(COUNTA(W14!$C$9:$I$18)-COUNTIF(W14!$C$9:$I$18,"✗"))/SUM('Start Here'!$E$11:$E$20)))</f>
        <v/>
      </c>
      <c r="D34" s="39">
        <f>IF(OR(W15!$C$7&gt;TODAY(),SUM('Start Here'!$E$11:$E$20)=0),"",MIN(1,(COUNTA(W15!$C$9:$I$18)-COUNTIF(W15!$C$9:$I$18,"✗"))/SUM('Start Here'!$E$11:$E$20)))</f>
        <v/>
      </c>
      <c r="E34" s="39">
        <f>IF(OR(W16!$C$7&gt;TODAY(),SUM('Start Here'!$E$11:$E$20)=0),"",MIN(1,(COUNTA(W16!$C$9:$I$18)-COUNTIF(W16!$C$9:$I$18,"✗"))/SUM('Start Here'!$E$11:$E$20)))</f>
        <v/>
      </c>
      <c r="F34" s="39">
        <f>IF(OR(W17!$C$7&gt;TODAY(),SUM('Start Here'!$E$11:$E$20)=0),"",MIN(1,(COUNTA(W17!$C$9:$I$18)-COUNTIF(W17!$C$9:$I$18,"✗"))/SUM('Start Here'!$E$11:$E$20)))</f>
        <v/>
      </c>
      <c r="G34" s="39">
        <f>IF(OR(W18!$C$7&gt;TODAY(),SUM('Start Here'!$E$11:$E$20)=0),"",MIN(1,(COUNTA(W18!$C$9:$I$18)-COUNTIF(W18!$C$9:$I$18,"✗"))/SUM('Start Here'!$E$11:$E$20)))</f>
        <v/>
      </c>
      <c r="H34" s="39">
        <f>IF(OR(W19!$C$7&gt;TODAY(),SUM('Start Here'!$E$11:$E$20)=0),"",MIN(1,(COUNTA(W19!$C$9:$I$18)-COUNTIF(W19!$C$9:$I$18,"✗"))/SUM('Start Here'!$E$11:$E$20)))</f>
        <v/>
      </c>
      <c r="I34" s="39">
        <f>IF(OR(W20!$C$7&gt;TODAY(),SUM('Start Here'!$E$11:$E$20)=0),"",MIN(1,(COUNTA(W20!$C$9:$I$18)-COUNTIF(W20!$C$9:$I$18,"✗"))/SUM('Start Here'!$E$11:$E$20)))</f>
        <v/>
      </c>
      <c r="J34" s="39">
        <f>IF(OR(W21!$C$7&gt;TODAY(),SUM('Start Here'!$E$11:$E$20)=0),"",MIN(1,(COUNTA(W21!$C$9:$I$18)-COUNTIF(W21!$C$9:$I$18,"✗"))/SUM('Start Here'!$E$11:$E$20)))</f>
        <v/>
      </c>
      <c r="K34" s="39">
        <f>IF(OR(W22!$C$7&gt;TODAY(),SUM('Start Here'!$E$11:$E$20)=0),"",MIN(1,(COUNTA(W22!$C$9:$I$18)-COUNTIF(W22!$C$9:$I$18,"✗"))/SUM('Start Here'!$E$11:$E$20)))</f>
        <v/>
      </c>
      <c r="L34" s="39">
        <f>IF(OR(W23!$C$7&gt;TODAY(),SUM('Start Here'!$E$11:$E$20)=0),"",MIN(1,(COUNTA(W23!$C$9:$I$18)-COUNTIF(W23!$C$9:$I$18,"✗"))/SUM('Start Here'!$E$11:$E$20)))</f>
        <v/>
      </c>
      <c r="M34" s="39">
        <f>IF(OR(W24!$C$7&gt;TODAY(),SUM('Start Here'!$E$11:$E$20)=0),"",MIN(1,(COUNTA(W24!$C$9:$I$18)-COUNTIF(W24!$C$9:$I$18,"✗"))/SUM('Start Here'!$E$11:$E$20)))</f>
        <v/>
      </c>
      <c r="N34" s="39">
        <f>IF(OR(W25!$C$7&gt;TODAY(),SUM('Start Here'!$E$11:$E$20)=0),"",MIN(1,(COUNTA(W25!$C$9:$I$18)-COUNTIF(W25!$C$9:$I$18,"✗"))/SUM('Start Here'!$E$11:$E$20)))</f>
        <v/>
      </c>
      <c r="O34" s="39">
        <f>IF(OR(W26!$C$7&gt;TODAY(),SUM('Start Here'!$E$11:$E$20)=0),"",MIN(1,(COUNTA(W26!$C$9:$I$18)-COUNTIF(W26!$C$9:$I$18,"✗"))/SUM('Start Here'!$E$11:$E$20)))</f>
        <v/>
      </c>
      <c r="P34" s="1" t="n"/>
      <c r="Q34" s="1" t="n"/>
      <c r="R34" s="1" t="n"/>
      <c r="S34" s="1" t="n"/>
      <c r="T34" s="1" t="n"/>
      <c r="U34" s="1" t="n"/>
    </row>
    <row r="35" ht="3" customHeight="1">
      <c r="A35" s="1" t="n"/>
      <c r="B35" s="1" t="n"/>
      <c r="C35" s="40">
        <f>W14!$C$7</f>
        <v/>
      </c>
      <c r="D35" s="40">
        <f>W15!$C$7</f>
        <v/>
      </c>
      <c r="E35" s="40">
        <f>W16!$C$7</f>
        <v/>
      </c>
      <c r="F35" s="40">
        <f>W17!$C$7</f>
        <v/>
      </c>
      <c r="G35" s="40">
        <f>W18!$C$7</f>
        <v/>
      </c>
      <c r="H35" s="40">
        <f>W19!$C$7</f>
        <v/>
      </c>
      <c r="I35" s="40">
        <f>W20!$C$7</f>
        <v/>
      </c>
      <c r="J35" s="40">
        <f>W21!$C$7</f>
        <v/>
      </c>
      <c r="K35" s="40">
        <f>W22!$C$7</f>
        <v/>
      </c>
      <c r="L35" s="40">
        <f>W23!$C$7</f>
        <v/>
      </c>
      <c r="M35" s="40">
        <f>W24!$C$7</f>
        <v/>
      </c>
      <c r="N35" s="40">
        <f>W25!$C$7</f>
        <v/>
      </c>
      <c r="O35" s="40">
        <f>W26!$C$7</f>
        <v/>
      </c>
      <c r="P35" s="1" t="n"/>
      <c r="Q35" s="1" t="n"/>
      <c r="R35" s="1" t="n"/>
      <c r="S35" s="1" t="n"/>
      <c r="T35" s="1" t="n"/>
      <c r="U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 ht="17" customHeight="1">
      <c r="A37" s="1" t="n"/>
      <c r="B37" s="1" t="n"/>
      <c r="C37" s="38" t="inlineStr">
        <is>
          <t>27</t>
        </is>
      </c>
      <c r="D37" s="38" t="inlineStr">
        <is>
          <t>28</t>
        </is>
      </c>
      <c r="E37" s="38" t="inlineStr">
        <is>
          <t>29</t>
        </is>
      </c>
      <c r="F37" s="38" t="inlineStr">
        <is>
          <t>30</t>
        </is>
      </c>
      <c r="G37" s="38" t="inlineStr">
        <is>
          <t>31</t>
        </is>
      </c>
      <c r="H37" s="38" t="inlineStr">
        <is>
          <t>32</t>
        </is>
      </c>
      <c r="I37" s="38" t="inlineStr">
        <is>
          <t>33</t>
        </is>
      </c>
      <c r="J37" s="38" t="inlineStr">
        <is>
          <t>34</t>
        </is>
      </c>
      <c r="K37" s="38" t="inlineStr">
        <is>
          <t>35</t>
        </is>
      </c>
      <c r="L37" s="38" t="inlineStr">
        <is>
          <t>36</t>
        </is>
      </c>
      <c r="M37" s="38" t="inlineStr">
        <is>
          <t>37</t>
        </is>
      </c>
      <c r="N37" s="38" t="inlineStr">
        <is>
          <t>38</t>
        </is>
      </c>
      <c r="O37" s="38" t="inlineStr">
        <is>
          <t>39</t>
        </is>
      </c>
      <c r="P37" s="1" t="n"/>
      <c r="Q37" s="1" t="n"/>
      <c r="R37" s="1" t="n"/>
      <c r="S37" s="1" t="n"/>
      <c r="T37" s="1" t="n"/>
      <c r="U37" s="1" t="n"/>
    </row>
    <row r="38" ht="15" customHeight="1">
      <c r="A38" s="1" t="n"/>
      <c r="B38" s="1" t="n"/>
      <c r="C38" s="39">
        <f>IF(OR(W27!$C$7&gt;TODAY(),SUM('Start Here'!$E$11:$E$20)=0),"",MIN(1,(COUNTA(W27!$C$9:$I$18)-COUNTIF(W27!$C$9:$I$18,"✗"))/SUM('Start Here'!$E$11:$E$20)))</f>
        <v/>
      </c>
      <c r="D38" s="39">
        <f>IF(OR(W28!$C$7&gt;TODAY(),SUM('Start Here'!$E$11:$E$20)=0),"",MIN(1,(COUNTA(W28!$C$9:$I$18)-COUNTIF(W28!$C$9:$I$18,"✗"))/SUM('Start Here'!$E$11:$E$20)))</f>
        <v/>
      </c>
      <c r="E38" s="39">
        <f>IF(OR(W29!$C$7&gt;TODAY(),SUM('Start Here'!$E$11:$E$20)=0),"",MIN(1,(COUNTA(W29!$C$9:$I$18)-COUNTIF(W29!$C$9:$I$18,"✗"))/SUM('Start Here'!$E$11:$E$20)))</f>
        <v/>
      </c>
      <c r="F38" s="39">
        <f>IF(OR(W30!$C$7&gt;TODAY(),SUM('Start Here'!$E$11:$E$20)=0),"",MIN(1,(COUNTA(W30!$C$9:$I$18)-COUNTIF(W30!$C$9:$I$18,"✗"))/SUM('Start Here'!$E$11:$E$20)))</f>
        <v/>
      </c>
      <c r="G38" s="39">
        <f>IF(OR(W31!$C$7&gt;TODAY(),SUM('Start Here'!$E$11:$E$20)=0),"",MIN(1,(COUNTA(W31!$C$9:$I$18)-COUNTIF(W31!$C$9:$I$18,"✗"))/SUM('Start Here'!$E$11:$E$20)))</f>
        <v/>
      </c>
      <c r="H38" s="39">
        <f>IF(OR(W32!$C$7&gt;TODAY(),SUM('Start Here'!$E$11:$E$20)=0),"",MIN(1,(COUNTA(W32!$C$9:$I$18)-COUNTIF(W32!$C$9:$I$18,"✗"))/SUM('Start Here'!$E$11:$E$20)))</f>
        <v/>
      </c>
      <c r="I38" s="39">
        <f>IF(OR(W33!$C$7&gt;TODAY(),SUM('Start Here'!$E$11:$E$20)=0),"",MIN(1,(COUNTA(W33!$C$9:$I$18)-COUNTIF(W33!$C$9:$I$18,"✗"))/SUM('Start Here'!$E$11:$E$20)))</f>
        <v/>
      </c>
      <c r="J38" s="39">
        <f>IF(OR(W34!$C$7&gt;TODAY(),SUM('Start Here'!$E$11:$E$20)=0),"",MIN(1,(COUNTA(W34!$C$9:$I$18)-COUNTIF(W34!$C$9:$I$18,"✗"))/SUM('Start Here'!$E$11:$E$20)))</f>
        <v/>
      </c>
      <c r="K38" s="39">
        <f>IF(OR(W35!$C$7&gt;TODAY(),SUM('Start Here'!$E$11:$E$20)=0),"",MIN(1,(COUNTA(W35!$C$9:$I$18)-COUNTIF(W35!$C$9:$I$18,"✗"))/SUM('Start Here'!$E$11:$E$20)))</f>
        <v/>
      </c>
      <c r="L38" s="39">
        <f>IF(OR(W36!$C$7&gt;TODAY(),SUM('Start Here'!$E$11:$E$20)=0),"",MIN(1,(COUNTA(W36!$C$9:$I$18)-COUNTIF(W36!$C$9:$I$18,"✗"))/SUM('Start Here'!$E$11:$E$20)))</f>
        <v/>
      </c>
      <c r="M38" s="39">
        <f>IF(OR(W37!$C$7&gt;TODAY(),SUM('Start Here'!$E$11:$E$20)=0),"",MIN(1,(COUNTA(W37!$C$9:$I$18)-COUNTIF(W37!$C$9:$I$18,"✗"))/SUM('Start Here'!$E$11:$E$20)))</f>
        <v/>
      </c>
      <c r="N38" s="39">
        <f>IF(OR(W38!$C$7&gt;TODAY(),SUM('Start Here'!$E$11:$E$20)=0),"",MIN(1,(COUNTA(W38!$C$9:$I$18)-COUNTIF(W38!$C$9:$I$18,"✗"))/SUM('Start Here'!$E$11:$E$20)))</f>
        <v/>
      </c>
      <c r="O38" s="39">
        <f>IF(OR(W39!$C$7&gt;TODAY(),SUM('Start Here'!$E$11:$E$20)=0),"",MIN(1,(COUNTA(W39!$C$9:$I$18)-COUNTIF(W39!$C$9:$I$18,"✗"))/SUM('Start Here'!$E$11:$E$20)))</f>
        <v/>
      </c>
      <c r="P38" s="1" t="n"/>
      <c r="Q38" s="1" t="n"/>
      <c r="R38" s="1" t="n"/>
      <c r="S38" s="1" t="n"/>
      <c r="T38" s="1" t="n"/>
      <c r="U38" s="1" t="n"/>
    </row>
    <row r="39" ht="3" customHeight="1">
      <c r="A39" s="1" t="n"/>
      <c r="B39" s="1" t="n"/>
      <c r="C39" s="40">
        <f>W27!$C$7</f>
        <v/>
      </c>
      <c r="D39" s="40">
        <f>W28!$C$7</f>
        <v/>
      </c>
      <c r="E39" s="40">
        <f>W29!$C$7</f>
        <v/>
      </c>
      <c r="F39" s="40">
        <f>W30!$C$7</f>
        <v/>
      </c>
      <c r="G39" s="40">
        <f>W31!$C$7</f>
        <v/>
      </c>
      <c r="H39" s="40">
        <f>W32!$C$7</f>
        <v/>
      </c>
      <c r="I39" s="40">
        <f>W33!$C$7</f>
        <v/>
      </c>
      <c r="J39" s="40">
        <f>W34!$C$7</f>
        <v/>
      </c>
      <c r="K39" s="40">
        <f>W35!$C$7</f>
        <v/>
      </c>
      <c r="L39" s="40">
        <f>W36!$C$7</f>
        <v/>
      </c>
      <c r="M39" s="40">
        <f>W37!$C$7</f>
        <v/>
      </c>
      <c r="N39" s="40">
        <f>W38!$C$7</f>
        <v/>
      </c>
      <c r="O39" s="40">
        <f>W39!$C$7</f>
        <v/>
      </c>
      <c r="P39" s="1" t="n"/>
      <c r="Q39" s="1" t="n"/>
      <c r="R39" s="1" t="n"/>
      <c r="S39" s="1" t="n"/>
      <c r="T39" s="1" t="n"/>
      <c r="U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 ht="17" customHeight="1">
      <c r="A41" s="1" t="n"/>
      <c r="B41" s="1" t="n"/>
      <c r="C41" s="38" t="inlineStr">
        <is>
          <t>40</t>
        </is>
      </c>
      <c r="D41" s="38" t="inlineStr">
        <is>
          <t>41</t>
        </is>
      </c>
      <c r="E41" s="38" t="inlineStr">
        <is>
          <t>42</t>
        </is>
      </c>
      <c r="F41" s="38" t="inlineStr">
        <is>
          <t>43</t>
        </is>
      </c>
      <c r="G41" s="38" t="inlineStr">
        <is>
          <t>44</t>
        </is>
      </c>
      <c r="H41" s="38" t="inlineStr">
        <is>
          <t>45</t>
        </is>
      </c>
      <c r="I41" s="38" t="inlineStr">
        <is>
          <t>46</t>
        </is>
      </c>
      <c r="J41" s="38" t="inlineStr">
        <is>
          <t>47</t>
        </is>
      </c>
      <c r="K41" s="38" t="inlineStr">
        <is>
          <t>48</t>
        </is>
      </c>
      <c r="L41" s="38" t="inlineStr">
        <is>
          <t>49</t>
        </is>
      </c>
      <c r="M41" s="38" t="inlineStr">
        <is>
          <t>50</t>
        </is>
      </c>
      <c r="N41" s="38" t="inlineStr">
        <is>
          <t>51</t>
        </is>
      </c>
      <c r="O41" s="38" t="inlineStr">
        <is>
          <t>52</t>
        </is>
      </c>
      <c r="P41" s="1" t="n"/>
      <c r="Q41" s="1" t="n"/>
      <c r="R41" s="1" t="n"/>
      <c r="S41" s="1" t="n"/>
      <c r="T41" s="1" t="n"/>
      <c r="U41" s="1" t="n"/>
    </row>
    <row r="42" ht="15" customHeight="1">
      <c r="A42" s="1" t="n"/>
      <c r="B42" s="1" t="n"/>
      <c r="C42" s="39">
        <f>IF(OR(W40!$C$7&gt;TODAY(),SUM('Start Here'!$E$11:$E$20)=0),"",MIN(1,(COUNTA(W40!$C$9:$I$18)-COUNTIF(W40!$C$9:$I$18,"✗"))/SUM('Start Here'!$E$11:$E$20)))</f>
        <v/>
      </c>
      <c r="D42" s="39">
        <f>IF(OR(W41!$C$7&gt;TODAY(),SUM('Start Here'!$E$11:$E$20)=0),"",MIN(1,(COUNTA(W41!$C$9:$I$18)-COUNTIF(W41!$C$9:$I$18,"✗"))/SUM('Start Here'!$E$11:$E$20)))</f>
        <v/>
      </c>
      <c r="E42" s="39">
        <f>IF(OR(W42!$C$7&gt;TODAY(),SUM('Start Here'!$E$11:$E$20)=0),"",MIN(1,(COUNTA(W42!$C$9:$I$18)-COUNTIF(W42!$C$9:$I$18,"✗"))/SUM('Start Here'!$E$11:$E$20)))</f>
        <v/>
      </c>
      <c r="F42" s="39">
        <f>IF(OR(W43!$C$7&gt;TODAY(),SUM('Start Here'!$E$11:$E$20)=0),"",MIN(1,(COUNTA(W43!$C$9:$I$18)-COUNTIF(W43!$C$9:$I$18,"✗"))/SUM('Start Here'!$E$11:$E$20)))</f>
        <v/>
      </c>
      <c r="G42" s="39">
        <f>IF(OR(W44!$C$7&gt;TODAY(),SUM('Start Here'!$E$11:$E$20)=0),"",MIN(1,(COUNTA(W44!$C$9:$I$18)-COUNTIF(W44!$C$9:$I$18,"✗"))/SUM('Start Here'!$E$11:$E$20)))</f>
        <v/>
      </c>
      <c r="H42" s="39">
        <f>IF(OR(W45!$C$7&gt;TODAY(),SUM('Start Here'!$E$11:$E$20)=0),"",MIN(1,(COUNTA(W45!$C$9:$I$18)-COUNTIF(W45!$C$9:$I$18,"✗"))/SUM('Start Here'!$E$11:$E$20)))</f>
        <v/>
      </c>
      <c r="I42" s="39">
        <f>IF(OR(W46!$C$7&gt;TODAY(),SUM('Start Here'!$E$11:$E$20)=0),"",MIN(1,(COUNTA(W46!$C$9:$I$18)-COUNTIF(W46!$C$9:$I$18,"✗"))/SUM('Start Here'!$E$11:$E$20)))</f>
        <v/>
      </c>
      <c r="J42" s="39">
        <f>IF(OR(W47!$C$7&gt;TODAY(),SUM('Start Here'!$E$11:$E$20)=0),"",MIN(1,(COUNTA(W47!$C$9:$I$18)-COUNTIF(W47!$C$9:$I$18,"✗"))/SUM('Start Here'!$E$11:$E$20)))</f>
        <v/>
      </c>
      <c r="K42" s="39">
        <f>IF(OR(W48!$C$7&gt;TODAY(),SUM('Start Here'!$E$11:$E$20)=0),"",MIN(1,(COUNTA(W48!$C$9:$I$18)-COUNTIF(W48!$C$9:$I$18,"✗"))/SUM('Start Here'!$E$11:$E$20)))</f>
        <v/>
      </c>
      <c r="L42" s="39">
        <f>IF(OR(W49!$C$7&gt;TODAY(),SUM('Start Here'!$E$11:$E$20)=0),"",MIN(1,(COUNTA(W49!$C$9:$I$18)-COUNTIF(W49!$C$9:$I$18,"✗"))/SUM('Start Here'!$E$11:$E$20)))</f>
        <v/>
      </c>
      <c r="M42" s="39">
        <f>IF(OR(W50!$C$7&gt;TODAY(),SUM('Start Here'!$E$11:$E$20)=0),"",MIN(1,(COUNTA(W50!$C$9:$I$18)-COUNTIF(W50!$C$9:$I$18,"✗"))/SUM('Start Here'!$E$11:$E$20)))</f>
        <v/>
      </c>
      <c r="N42" s="39">
        <f>IF(OR(W51!$C$7&gt;TODAY(),SUM('Start Here'!$E$11:$E$20)=0),"",MIN(1,(COUNTA(W51!$C$9:$I$18)-COUNTIF(W51!$C$9:$I$18,"✗"))/SUM('Start Here'!$E$11:$E$20)))</f>
        <v/>
      </c>
      <c r="O42" s="39">
        <f>IF(OR(W52!$C$7&gt;TODAY(),SUM('Start Here'!$E$11:$E$20)=0),"",MIN(1,(COUNTA(W52!$C$9:$I$18)-COUNTIF(W52!$C$9:$I$18,"✗"))/SUM('Start Here'!$E$11:$E$20)))</f>
        <v/>
      </c>
      <c r="P42" s="1" t="n"/>
      <c r="Q42" s="1" t="n"/>
      <c r="R42" s="1" t="n"/>
      <c r="S42" s="1" t="n"/>
      <c r="T42" s="1" t="n"/>
      <c r="U42" s="1" t="n"/>
    </row>
    <row r="43" ht="3" customHeight="1">
      <c r="A43" s="1" t="n"/>
      <c r="B43" s="1" t="n"/>
      <c r="C43" s="40">
        <f>W40!$C$7</f>
        <v/>
      </c>
      <c r="D43" s="40">
        <f>W41!$C$7</f>
        <v/>
      </c>
      <c r="E43" s="40">
        <f>W42!$C$7</f>
        <v/>
      </c>
      <c r="F43" s="40">
        <f>W43!$C$7</f>
        <v/>
      </c>
      <c r="G43" s="40">
        <f>W44!$C$7</f>
        <v/>
      </c>
      <c r="H43" s="40">
        <f>W45!$C$7</f>
        <v/>
      </c>
      <c r="I43" s="40">
        <f>W46!$C$7</f>
        <v/>
      </c>
      <c r="J43" s="40">
        <f>W47!$C$7</f>
        <v/>
      </c>
      <c r="K43" s="40">
        <f>W48!$C$7</f>
        <v/>
      </c>
      <c r="L43" s="40">
        <f>W49!$C$7</f>
        <v/>
      </c>
      <c r="M43" s="40">
        <f>W50!$C$7</f>
        <v/>
      </c>
      <c r="N43" s="40">
        <f>W51!$C$7</f>
        <v/>
      </c>
      <c r="O43" s="40">
        <f>W52!$C$7</f>
        <v/>
      </c>
      <c r="P43" s="1" t="n"/>
      <c r="Q43" s="1" t="n"/>
      <c r="R43" s="1" t="n"/>
      <c r="S43" s="1" t="n"/>
      <c r="T43" s="1" t="n"/>
      <c r="U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n"/>
      <c r="B46" s="1" t="n"/>
      <c r="C46" s="18" t="inlineStr">
        <is>
          <t>Miss a day and the streak resets. That is the point — it is the only rule the system has.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</sheetData>
  <mergeCells count="64">
    <mergeCell ref="K16:L16"/>
    <mergeCell ref="C3:J3"/>
    <mergeCell ref="C16:H16"/>
    <mergeCell ref="C8:F8"/>
    <mergeCell ref="O8:R8"/>
    <mergeCell ref="I15:J15"/>
    <mergeCell ref="C22:H22"/>
    <mergeCell ref="K15:L15"/>
    <mergeCell ref="P3:S3"/>
    <mergeCell ref="C7:F7"/>
    <mergeCell ref="O11:R11"/>
    <mergeCell ref="K7:N7"/>
    <mergeCell ref="C12:H12"/>
    <mergeCell ref="C21:H21"/>
    <mergeCell ref="K21:L21"/>
    <mergeCell ref="C11:H11"/>
    <mergeCell ref="K6:N6"/>
    <mergeCell ref="K20:L20"/>
    <mergeCell ref="I16:J16"/>
    <mergeCell ref="M20:N20"/>
    <mergeCell ref="O7:R7"/>
    <mergeCell ref="C25:J25"/>
    <mergeCell ref="C6:F6"/>
    <mergeCell ref="P4:S4"/>
    <mergeCell ref="I22:J22"/>
    <mergeCell ref="C17:H17"/>
    <mergeCell ref="O6:R6"/>
    <mergeCell ref="K22:L22"/>
    <mergeCell ref="I18:J18"/>
    <mergeCell ref="M22:N22"/>
    <mergeCell ref="M13:N13"/>
    <mergeCell ref="M16:N16"/>
    <mergeCell ref="I21:J21"/>
    <mergeCell ref="I12:J12"/>
    <mergeCell ref="C19:H19"/>
    <mergeCell ref="M15:N15"/>
    <mergeCell ref="K12:L12"/>
    <mergeCell ref="M21:N21"/>
    <mergeCell ref="M12:N12"/>
    <mergeCell ref="G8:J8"/>
    <mergeCell ref="C4:L4"/>
    <mergeCell ref="C13:H13"/>
    <mergeCell ref="C26:R26"/>
    <mergeCell ref="G7:J7"/>
    <mergeCell ref="C18:H18"/>
    <mergeCell ref="M18:N18"/>
    <mergeCell ref="I14:J14"/>
    <mergeCell ref="K14:L14"/>
    <mergeCell ref="I17:J17"/>
    <mergeCell ref="K17:L17"/>
    <mergeCell ref="C15:H15"/>
    <mergeCell ref="M17:N17"/>
    <mergeCell ref="G6:J6"/>
    <mergeCell ref="I20:J20"/>
    <mergeCell ref="C14:H14"/>
    <mergeCell ref="M14:N14"/>
    <mergeCell ref="I19:J19"/>
    <mergeCell ref="K19:L19"/>
    <mergeCell ref="K8:N8"/>
    <mergeCell ref="M19:N19"/>
    <mergeCell ref="I13:J13"/>
    <mergeCell ref="C20:H20"/>
    <mergeCell ref="K13:L13"/>
    <mergeCell ref="K18:L18"/>
  </mergeCells>
  <conditionalFormatting sqref="C13:R22">
    <cfRule type="expression" priority="1" dxfId="0" stopIfTrue="1">
      <formula>$C13=""</formula>
    </cfRule>
  </conditionalFormatting>
  <conditionalFormatting sqref="O13:R22">
    <cfRule type="cellIs" priority="2" operator="equal" dxfId="3">
      <formula>"✔"</formula>
    </cfRule>
  </conditionalFormatting>
  <conditionalFormatting sqref="K13:L22">
    <cfRule type="cellIs" priority="3" operator="greaterThanOrEqual" dxfId="4">
      <formula>1</formula>
    </cfRule>
  </conditionalFormatting>
  <conditionalFormatting sqref="C29:O29">
    <cfRule type="expression" priority="4" dxfId="5">
      <formula>AND(C31&lt;=TODAY(),C31+6&gt;=TODAY())</formula>
    </cfRule>
  </conditionalFormatting>
  <conditionalFormatting sqref="C30:O30">
    <cfRule type="colorScale" priority="5">
      <colorScale>
        <cfvo type="num" val="0"/>
        <cfvo type="num" val="0.5"/>
        <cfvo type="num" val="1"/>
        <color rgb="001A1F26"/>
        <color rgb="00277048"/>
        <color rgb="004ADE80"/>
      </colorScale>
    </cfRule>
  </conditionalFormatting>
  <conditionalFormatting sqref="C33:O33">
    <cfRule type="expression" priority="6" dxfId="5">
      <formula>AND(C35&lt;=TODAY(),C35+6&gt;=TODAY())</formula>
    </cfRule>
  </conditionalFormatting>
  <conditionalFormatting sqref="C34:O34">
    <cfRule type="colorScale" priority="7">
      <colorScale>
        <cfvo type="num" val="0"/>
        <cfvo type="num" val="0.5"/>
        <cfvo type="num" val="1"/>
        <color rgb="001A1F26"/>
        <color rgb="00277048"/>
        <color rgb="004ADE80"/>
      </colorScale>
    </cfRule>
  </conditionalFormatting>
  <conditionalFormatting sqref="C37:O37">
    <cfRule type="expression" priority="8" dxfId="5">
      <formula>AND(C39&lt;=TODAY(),C39+6&gt;=TODAY())</formula>
    </cfRule>
  </conditionalFormatting>
  <conditionalFormatting sqref="C38:O38">
    <cfRule type="colorScale" priority="9">
      <colorScale>
        <cfvo type="num" val="0"/>
        <cfvo type="num" val="0.5"/>
        <cfvo type="num" val="1"/>
        <color rgb="001A1F26"/>
        <color rgb="00277048"/>
        <color rgb="004ADE80"/>
      </colorScale>
    </cfRule>
  </conditionalFormatting>
  <conditionalFormatting sqref="C41:O41">
    <cfRule type="expression" priority="10" dxfId="5">
      <formula>AND(C43&lt;=TODAY(),C43+6&gt;=TODAY())</formula>
    </cfRule>
  </conditionalFormatting>
  <conditionalFormatting sqref="C42:O42">
    <cfRule type="colorScale" priority="11">
      <colorScale>
        <cfvo type="num" val="0"/>
        <cfvo type="num" val="0.5"/>
        <cfvo type="num" val="1"/>
        <color rgb="001A1F26"/>
        <color rgb="00277048"/>
        <color rgb="004ADE80"/>
      </colorScale>
    </cfRule>
  </conditionalFormatting>
  <hyperlinks>
    <hyperlink ref="P3" location="'Start Here'!A1"/>
    <hyperlink ref="P4" location="'W01'!A1"/>
    <hyperlink ref="C29" location="'W01'!A1"/>
    <hyperlink ref="D29" location="'W02'!A1"/>
    <hyperlink ref="E29" location="'W03'!A1"/>
    <hyperlink ref="F29" location="'W04'!A1"/>
    <hyperlink ref="G29" location="'W05'!A1"/>
    <hyperlink ref="H29" location="'W06'!A1"/>
    <hyperlink ref="I29" location="'W07'!A1"/>
    <hyperlink ref="J29" location="'W08'!A1"/>
    <hyperlink ref="K29" location="'W09'!A1"/>
    <hyperlink ref="L29" location="'W10'!A1"/>
    <hyperlink ref="M29" location="'W11'!A1"/>
    <hyperlink ref="N29" location="'W12'!A1"/>
    <hyperlink ref="O29" location="'W13'!A1"/>
    <hyperlink ref="C33" location="'W14'!A1"/>
    <hyperlink ref="D33" location="'W15'!A1"/>
    <hyperlink ref="E33" location="'W16'!A1"/>
    <hyperlink ref="F33" location="'W17'!A1"/>
    <hyperlink ref="G33" location="'W18'!A1"/>
    <hyperlink ref="H33" location="'W19'!A1"/>
    <hyperlink ref="I33" location="'W20'!A1"/>
    <hyperlink ref="J33" location="'W21'!A1"/>
    <hyperlink ref="K33" location="'W22'!A1"/>
    <hyperlink ref="L33" location="'W23'!A1"/>
    <hyperlink ref="M33" location="'W24'!A1"/>
    <hyperlink ref="N33" location="'W25'!A1"/>
    <hyperlink ref="O33" location="'W26'!A1"/>
    <hyperlink ref="C37" location="'W27'!A1"/>
    <hyperlink ref="D37" location="'W28'!A1"/>
    <hyperlink ref="E37" location="'W29'!A1"/>
    <hyperlink ref="F37" location="'W30'!A1"/>
    <hyperlink ref="G37" location="'W31'!A1"/>
    <hyperlink ref="H37" location="'W32'!A1"/>
    <hyperlink ref="I37" location="'W33'!A1"/>
    <hyperlink ref="J37" location="'W34'!A1"/>
    <hyperlink ref="K37" location="'W35'!A1"/>
    <hyperlink ref="L37" location="'W36'!A1"/>
    <hyperlink ref="M37" location="'W37'!A1"/>
    <hyperlink ref="N37" location="'W38'!A1"/>
    <hyperlink ref="O37" location="'W39'!A1"/>
    <hyperlink ref="C41" location="'W40'!A1"/>
    <hyperlink ref="D41" location="'W41'!A1"/>
    <hyperlink ref="E41" location="'W42'!A1"/>
    <hyperlink ref="F41" location="'W43'!A1"/>
    <hyperlink ref="G41" location="'W44'!A1"/>
    <hyperlink ref="H41" location="'W45'!A1"/>
    <hyperlink ref="I41" location="'W46'!A1"/>
    <hyperlink ref="J41" location="'W47'!A1"/>
    <hyperlink ref="K41" location="'W48'!A1"/>
    <hyperlink ref="L41" location="'W49'!A1"/>
    <hyperlink ref="M41" location="'W50'!A1"/>
    <hyperlink ref="N41" location="'W51'!A1"/>
    <hyperlink ref="O41" location="'W52'!A1"/>
  </hyperlinks>
  <printOptions horizontalCentered="1"/>
  <pageMargins left="0.3" right="0.3" top="0.3" bottom="0.3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START HERE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</f>
        <v/>
      </c>
      <c r="D7" s="45">
        <f>'Start Here'!$E$6+1</f>
        <v/>
      </c>
      <c r="E7" s="45">
        <f>'Start Here'!$E$6+2</f>
        <v/>
      </c>
      <c r="F7" s="45">
        <f>'Start Here'!$E$6+3</f>
        <v/>
      </c>
      <c r="G7" s="45">
        <f>'Start Here'!$E$6+4</f>
        <v/>
      </c>
      <c r="H7" s="45">
        <f>'Start Here'!$E$6+5</f>
        <v/>
      </c>
      <c r="I7" s="45">
        <f>'Start Here'!$E$6+6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Start Here'!A1"/>
    <hyperlink ref="K4" location="'Dashboard'!A1"/>
    <hyperlink ref="M4" location="'W02'!A1"/>
  </hyperlinks>
  <printOptions horizontalCentered="1"/>
  <pageMargins left="0.3" right="0.3" top="0.3" bottom="0.3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03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Here'!$E$6+7</f>
        <v/>
      </c>
      <c r="D7" s="45">
        <f>'Start Here'!$E$6+8</f>
        <v/>
      </c>
      <c r="E7" s="45">
        <f>'Start Here'!$E$6+9</f>
        <v/>
      </c>
      <c r="F7" s="45">
        <f>'Start Here'!$E$6+10</f>
        <v/>
      </c>
      <c r="G7" s="45">
        <f>'Start Here'!$E$6+11</f>
        <v/>
      </c>
      <c r="H7" s="45">
        <f>'Start Here'!$E$6+12</f>
        <v/>
      </c>
      <c r="I7" s="45">
        <f>'Start Here'!$E$6+13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1'!A1"/>
    <hyperlink ref="K4" location="'Dashboard'!A1"/>
    <hyperlink ref="M4" location="'W03'!A1"/>
  </hyperlinks>
  <printOptions horizontalCentered="1"/>
  <pageMargins left="0.3" right="0.3" top="0.3" bottom="0.3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03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02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04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Here'!$E$6+14</f>
        <v/>
      </c>
      <c r="D7" s="45">
        <f>'Start Here'!$E$6+15</f>
        <v/>
      </c>
      <c r="E7" s="45">
        <f>'Start Here'!$E$6+16</f>
        <v/>
      </c>
      <c r="F7" s="45">
        <f>'Start Here'!$E$6+17</f>
        <v/>
      </c>
      <c r="G7" s="45">
        <f>'Start Here'!$E$6+18</f>
        <v/>
      </c>
      <c r="H7" s="45">
        <f>'Start Here'!$E$6+19</f>
        <v/>
      </c>
      <c r="I7" s="45">
        <f>'Start Here'!$E$6+20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2'!A1"/>
    <hyperlink ref="K4" location="'Dashboard'!A1"/>
    <hyperlink ref="M4" location="'W04'!A1"/>
  </hyperlinks>
  <printOptions horizontalCentered="1"/>
  <pageMargins left="0.3" right="0.3" top="0.3" bottom="0.3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04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05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Here'!$E$6+21</f>
        <v/>
      </c>
      <c r="D7" s="45">
        <f>'Start Here'!$E$6+22</f>
        <v/>
      </c>
      <c r="E7" s="45">
        <f>'Start Here'!$E$6+23</f>
        <v/>
      </c>
      <c r="F7" s="45">
        <f>'Start Here'!$E$6+24</f>
        <v/>
      </c>
      <c r="G7" s="45">
        <f>'Start Here'!$E$6+25</f>
        <v/>
      </c>
      <c r="H7" s="45">
        <f>'Start Here'!$E$6+26</f>
        <v/>
      </c>
      <c r="I7" s="45">
        <f>'Start Here'!$E$6+27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3'!A1"/>
    <hyperlink ref="K4" location="'Dashboard'!A1"/>
    <hyperlink ref="M4" location="'W05'!A1"/>
  </hyperlinks>
  <printOptions horizontalCentered="1"/>
  <pageMargins left="0.3" right="0.3" top="0.3" bottom="0.3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05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06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Here'!$E$6+28</f>
        <v/>
      </c>
      <c r="D7" s="45">
        <f>'Start Here'!$E$6+29</f>
        <v/>
      </c>
      <c r="E7" s="45">
        <f>'Start Here'!$E$6+30</f>
        <v/>
      </c>
      <c r="F7" s="45">
        <f>'Start Here'!$E$6+31</f>
        <v/>
      </c>
      <c r="G7" s="45">
        <f>'Start Here'!$E$6+32</f>
        <v/>
      </c>
      <c r="H7" s="45">
        <f>'Start Here'!$E$6+33</f>
        <v/>
      </c>
      <c r="I7" s="45">
        <f>'Start Here'!$E$6+34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4'!A1"/>
    <hyperlink ref="K4" location="'Dashboard'!A1"/>
    <hyperlink ref="M4" location="'W06'!A1"/>
  </hyperlinks>
  <printOptions horizontalCentered="1"/>
  <pageMargins left="0.3" right="0.3" top="0.3" bottom="0.3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05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07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Here'!$E$6+35</f>
        <v/>
      </c>
      <c r="D7" s="45">
        <f>'Start Here'!$E$6+36</f>
        <v/>
      </c>
      <c r="E7" s="45">
        <f>'Start Here'!$E$6+37</f>
        <v/>
      </c>
      <c r="F7" s="45">
        <f>'Start Here'!$E$6+38</f>
        <v/>
      </c>
      <c r="G7" s="45">
        <f>'Start Here'!$E$6+39</f>
        <v/>
      </c>
      <c r="H7" s="45">
        <f>'Start Here'!$E$6+40</f>
        <v/>
      </c>
      <c r="I7" s="45">
        <f>'Start Here'!$E$6+41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5'!A1"/>
    <hyperlink ref="K4" location="'Dashboard'!A1"/>
    <hyperlink ref="M4" location="'W07'!A1"/>
  </hyperlinks>
  <printOptions horizontalCentered="1"/>
  <pageMargins left="0.3" right="0.3" top="0.3" bottom="0.3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06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08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Here'!$E$6+42</f>
        <v/>
      </c>
      <c r="D7" s="45">
        <f>'Start Here'!$E$6+43</f>
        <v/>
      </c>
      <c r="E7" s="45">
        <f>'Start Here'!$E$6+44</f>
        <v/>
      </c>
      <c r="F7" s="45">
        <f>'Start Here'!$E$6+45</f>
        <v/>
      </c>
      <c r="G7" s="45">
        <f>'Start Here'!$E$6+46</f>
        <v/>
      </c>
      <c r="H7" s="45">
        <f>'Start Here'!$E$6+47</f>
        <v/>
      </c>
      <c r="I7" s="45">
        <f>'Start Here'!$E$6+48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6'!A1"/>
    <hyperlink ref="K4" location="'Dashboard'!A1"/>
    <hyperlink ref="M4" location="'W08'!A1"/>
  </hyperlinks>
  <printOptions horizontalCentered="1"/>
  <pageMargins left="0.3" right="0.3" top="0.3" bottom="0.3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08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07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09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Here'!$E$6+49</f>
        <v/>
      </c>
      <c r="D7" s="45">
        <f>'Start Here'!$E$6+50</f>
        <v/>
      </c>
      <c r="E7" s="45">
        <f>'Start Here'!$E$6+51</f>
        <v/>
      </c>
      <c r="F7" s="45">
        <f>'Start Here'!$E$6+52</f>
        <v/>
      </c>
      <c r="G7" s="45">
        <f>'Start Here'!$E$6+53</f>
        <v/>
      </c>
      <c r="H7" s="45">
        <f>'Start Here'!$E$6+54</f>
        <v/>
      </c>
      <c r="I7" s="45">
        <f>'Start Here'!$E$6+55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7'!A1"/>
    <hyperlink ref="K4" location="'Dashboard'!A1"/>
    <hyperlink ref="M4" location="'W09'!A1"/>
  </hyperlinks>
  <printOptions horizontalCentered="1"/>
  <pageMargins left="0.3" right="0.3" top="0.3" bottom="0.3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09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08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10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Here'!$E$6+56</f>
        <v/>
      </c>
      <c r="D7" s="45">
        <f>'Start Here'!$E$6+57</f>
        <v/>
      </c>
      <c r="E7" s="45">
        <f>'Start Here'!$E$6+58</f>
        <v/>
      </c>
      <c r="F7" s="45">
        <f>'Start Here'!$E$6+59</f>
        <v/>
      </c>
      <c r="G7" s="45">
        <f>'Start Here'!$E$6+60</f>
        <v/>
      </c>
      <c r="H7" s="45">
        <f>'Start Here'!$E$6+61</f>
        <v/>
      </c>
      <c r="I7" s="45">
        <f>'Start Here'!$E$6+62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8'!A1"/>
    <hyperlink ref="K4" location="'Dashboard'!A1"/>
    <hyperlink ref="M4" location="'W10'!A1"/>
  </hyperlinks>
  <printOptions horizontalCentered="1"/>
  <pageMargins left="0.3" right="0.3" top="0.3" bottom="0.3" header="0.5" footer="0.5"/>
  <pageSetup orientation="landscape" fitToHeight="1" fitToWidth="1"/>
</worksheet>
</file>

<file path=xl/worksheets/sheet13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09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11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Here'!$E$6+63</f>
        <v/>
      </c>
      <c r="D7" s="45">
        <f>'Start Here'!$E$6+64</f>
        <v/>
      </c>
      <c r="E7" s="45">
        <f>'Start Here'!$E$6+65</f>
        <v/>
      </c>
      <c r="F7" s="45">
        <f>'Start Here'!$E$6+66</f>
        <v/>
      </c>
      <c r="G7" s="45">
        <f>'Start Here'!$E$6+67</f>
        <v/>
      </c>
      <c r="H7" s="45">
        <f>'Start Here'!$E$6+68</f>
        <v/>
      </c>
      <c r="I7" s="45">
        <f>'Start Here'!$E$6+69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9'!A1"/>
    <hyperlink ref="K4" location="'Dashboard'!A1"/>
    <hyperlink ref="M4" location="'W11'!A1"/>
  </hyperlinks>
  <printOptions horizontalCentered="1"/>
  <pageMargins left="0.3" right="0.3" top="0.3" bottom="0.3" header="0.5" footer="0.5"/>
  <pageSetup orientation="landscape" fitToHeight="1" fitToWidth="1"/>
</worksheet>
</file>

<file path=xl/worksheets/sheet14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10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Here'!$E$6+70</f>
        <v/>
      </c>
      <c r="D7" s="45">
        <f>'Start Here'!$E$6+71</f>
        <v/>
      </c>
      <c r="E7" s="45">
        <f>'Start Here'!$E$6+72</f>
        <v/>
      </c>
      <c r="F7" s="45">
        <f>'Start Here'!$E$6+73</f>
        <v/>
      </c>
      <c r="G7" s="45">
        <f>'Start Here'!$E$6+74</f>
        <v/>
      </c>
      <c r="H7" s="45">
        <f>'Start Here'!$E$6+75</f>
        <v/>
      </c>
      <c r="I7" s="45">
        <f>'Start Here'!$E$6+76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0'!A1"/>
    <hyperlink ref="K4" location="'Dashboard'!A1"/>
    <hyperlink ref="M4" location="'W12'!A1"/>
  </hyperlinks>
  <printOptions horizontalCentered="1"/>
  <pageMargins left="0.3" right="0.3" top="0.3" bottom="0.3" header="0.5" footer="0.5"/>
  <pageSetup orientation="landscape" fitToHeight="1" fitToWidth="1"/>
</worksheet>
</file>

<file path=xl/worksheets/sheet15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13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Here'!$E$6+77</f>
        <v/>
      </c>
      <c r="D7" s="45">
        <f>'Start Here'!$E$6+78</f>
        <v/>
      </c>
      <c r="E7" s="45">
        <f>'Start Here'!$E$6+79</f>
        <v/>
      </c>
      <c r="F7" s="45">
        <f>'Start Here'!$E$6+80</f>
        <v/>
      </c>
      <c r="G7" s="45">
        <f>'Start Here'!$E$6+81</f>
        <v/>
      </c>
      <c r="H7" s="45">
        <f>'Start Here'!$E$6+82</f>
        <v/>
      </c>
      <c r="I7" s="45">
        <f>'Start Here'!$E$6+83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1'!A1"/>
    <hyperlink ref="K4" location="'Dashboard'!A1"/>
    <hyperlink ref="M4" location="'W13'!A1"/>
  </hyperlinks>
  <printOptions horizontalCentered="1"/>
  <pageMargins left="0.3" right="0.3" top="0.3" bottom="0.3" header="0.5" footer="0.5"/>
  <pageSetup orientation="landscape" fitToHeight="1" fitToWidth="1"/>
</worksheet>
</file>

<file path=xl/worksheets/sheet16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13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12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14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Here'!$E$6+84</f>
        <v/>
      </c>
      <c r="D7" s="45">
        <f>'Start Here'!$E$6+85</f>
        <v/>
      </c>
      <c r="E7" s="45">
        <f>'Start Here'!$E$6+86</f>
        <v/>
      </c>
      <c r="F7" s="45">
        <f>'Start Here'!$E$6+87</f>
        <v/>
      </c>
      <c r="G7" s="45">
        <f>'Start Here'!$E$6+88</f>
        <v/>
      </c>
      <c r="H7" s="45">
        <f>'Start Here'!$E$6+89</f>
        <v/>
      </c>
      <c r="I7" s="45">
        <f>'Start Here'!$E$6+90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2'!A1"/>
    <hyperlink ref="K4" location="'Dashboard'!A1"/>
    <hyperlink ref="M4" location="'W14'!A1"/>
  </hyperlinks>
  <printOptions horizontalCentered="1"/>
  <pageMargins left="0.3" right="0.3" top="0.3" bottom="0.3" header="0.5" footer="0.5"/>
  <pageSetup orientation="landscape" fitToHeight="1" fitToWidth="1"/>
</worksheet>
</file>

<file path=xl/worksheets/sheet17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14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15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Here'!$E$6+91</f>
        <v/>
      </c>
      <c r="D7" s="45">
        <f>'Start Here'!$E$6+92</f>
        <v/>
      </c>
      <c r="E7" s="45">
        <f>'Start Here'!$E$6+93</f>
        <v/>
      </c>
      <c r="F7" s="45">
        <f>'Start Here'!$E$6+94</f>
        <v/>
      </c>
      <c r="G7" s="45">
        <f>'Start Here'!$E$6+95</f>
        <v/>
      </c>
      <c r="H7" s="45">
        <f>'Start Here'!$E$6+96</f>
        <v/>
      </c>
      <c r="I7" s="45">
        <f>'Start Here'!$E$6+97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3'!A1"/>
    <hyperlink ref="K4" location="'Dashboard'!A1"/>
    <hyperlink ref="M4" location="'W15'!A1"/>
  </hyperlinks>
  <printOptions horizontalCentered="1"/>
  <pageMargins left="0.3" right="0.3" top="0.3" bottom="0.3" header="0.5" footer="0.5"/>
  <pageSetup orientation="landscape" fitToHeight="1" fitToWidth="1"/>
</worksheet>
</file>

<file path=xl/worksheets/sheet18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15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16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Here'!$E$6+98</f>
        <v/>
      </c>
      <c r="D7" s="45">
        <f>'Start Here'!$E$6+99</f>
        <v/>
      </c>
      <c r="E7" s="45">
        <f>'Start Here'!$E$6+100</f>
        <v/>
      </c>
      <c r="F7" s="45">
        <f>'Start Here'!$E$6+101</f>
        <v/>
      </c>
      <c r="G7" s="45">
        <f>'Start Here'!$E$6+102</f>
        <v/>
      </c>
      <c r="H7" s="45">
        <f>'Start Here'!$E$6+103</f>
        <v/>
      </c>
      <c r="I7" s="45">
        <f>'Start Here'!$E$6+104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4'!A1"/>
    <hyperlink ref="K4" location="'Dashboard'!A1"/>
    <hyperlink ref="M4" location="'W16'!A1"/>
  </hyperlinks>
  <printOptions horizontalCentered="1"/>
  <pageMargins left="0.3" right="0.3" top="0.3" bottom="0.3" header="0.5" footer="0.5"/>
  <pageSetup orientation="landscape" fitToHeight="1" fitToWidth="1"/>
</worksheet>
</file>

<file path=xl/worksheets/sheet19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15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17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Here'!$E$6+105</f>
        <v/>
      </c>
      <c r="D7" s="45">
        <f>'Start Here'!$E$6+106</f>
        <v/>
      </c>
      <c r="E7" s="45">
        <f>'Start Here'!$E$6+107</f>
        <v/>
      </c>
      <c r="F7" s="45">
        <f>'Start Here'!$E$6+108</f>
        <v/>
      </c>
      <c r="G7" s="45">
        <f>'Start Here'!$E$6+109</f>
        <v/>
      </c>
      <c r="H7" s="45">
        <f>'Start Here'!$E$6+110</f>
        <v/>
      </c>
      <c r="I7" s="45">
        <f>'Start Here'!$E$6+111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5'!A1"/>
    <hyperlink ref="K4" location="'Dashboard'!A1"/>
    <hyperlink ref="M4" location="'W17'!A1"/>
  </hyperlinks>
  <printOptions horizontalCentered="1"/>
  <pageMargins left="0.3" right="0.3" top="0.3" bottom="0.3" header="0.5" footer="0.5"/>
  <pageSetup orientation="landscape" fitToHeight="1" fitToWidth="1"/>
</worksheet>
</file>

<file path=xl/worksheets/sheet20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16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18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Here'!$E$6+112</f>
        <v/>
      </c>
      <c r="D7" s="45">
        <f>'Start Here'!$E$6+113</f>
        <v/>
      </c>
      <c r="E7" s="45">
        <f>'Start Here'!$E$6+114</f>
        <v/>
      </c>
      <c r="F7" s="45">
        <f>'Start Here'!$E$6+115</f>
        <v/>
      </c>
      <c r="G7" s="45">
        <f>'Start Here'!$E$6+116</f>
        <v/>
      </c>
      <c r="H7" s="45">
        <f>'Start Here'!$E$6+117</f>
        <v/>
      </c>
      <c r="I7" s="45">
        <f>'Start Here'!$E$6+118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6'!A1"/>
    <hyperlink ref="K4" location="'Dashboard'!A1"/>
    <hyperlink ref="M4" location="'W18'!A1"/>
  </hyperlinks>
  <printOptions horizontalCentered="1"/>
  <pageMargins left="0.3" right="0.3" top="0.3" bottom="0.3" header="0.5" footer="0.5"/>
  <pageSetup orientation="landscape" fitToHeight="1" fitToWidth="1"/>
</worksheet>
</file>

<file path=xl/worksheets/sheet21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18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17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19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Here'!$E$6+119</f>
        <v/>
      </c>
      <c r="D7" s="45">
        <f>'Start Here'!$E$6+120</f>
        <v/>
      </c>
      <c r="E7" s="45">
        <f>'Start Here'!$E$6+121</f>
        <v/>
      </c>
      <c r="F7" s="45">
        <f>'Start Here'!$E$6+122</f>
        <v/>
      </c>
      <c r="G7" s="45">
        <f>'Start Here'!$E$6+123</f>
        <v/>
      </c>
      <c r="H7" s="45">
        <f>'Start Here'!$E$6+124</f>
        <v/>
      </c>
      <c r="I7" s="45">
        <f>'Start Here'!$E$6+125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7'!A1"/>
    <hyperlink ref="K4" location="'Dashboard'!A1"/>
    <hyperlink ref="M4" location="'W19'!A1"/>
  </hyperlinks>
  <printOptions horizontalCentered="1"/>
  <pageMargins left="0.3" right="0.3" top="0.3" bottom="0.3" header="0.5" footer="0.5"/>
  <pageSetup orientation="landscape" fitToHeight="1" fitToWidth="1"/>
</worksheet>
</file>

<file path=xl/worksheets/sheet22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19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18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20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Here'!$E$6+126</f>
        <v/>
      </c>
      <c r="D7" s="45">
        <f>'Start Here'!$E$6+127</f>
        <v/>
      </c>
      <c r="E7" s="45">
        <f>'Start Here'!$E$6+128</f>
        <v/>
      </c>
      <c r="F7" s="45">
        <f>'Start Here'!$E$6+129</f>
        <v/>
      </c>
      <c r="G7" s="45">
        <f>'Start Here'!$E$6+130</f>
        <v/>
      </c>
      <c r="H7" s="45">
        <f>'Start Here'!$E$6+131</f>
        <v/>
      </c>
      <c r="I7" s="45">
        <f>'Start Here'!$E$6+132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8'!A1"/>
    <hyperlink ref="K4" location="'Dashboard'!A1"/>
    <hyperlink ref="M4" location="'W20'!A1"/>
  </hyperlinks>
  <printOptions horizontalCentered="1"/>
  <pageMargins left="0.3" right="0.3" top="0.3" bottom="0.3" header="0.5" footer="0.5"/>
  <pageSetup orientation="landscape" fitToHeight="1" fitToWidth="1"/>
</worksheet>
</file>

<file path=xl/worksheets/sheet23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19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21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Here'!$E$6+133</f>
        <v/>
      </c>
      <c r="D7" s="45">
        <f>'Start Here'!$E$6+134</f>
        <v/>
      </c>
      <c r="E7" s="45">
        <f>'Start Here'!$E$6+135</f>
        <v/>
      </c>
      <c r="F7" s="45">
        <f>'Start Here'!$E$6+136</f>
        <v/>
      </c>
      <c r="G7" s="45">
        <f>'Start Here'!$E$6+137</f>
        <v/>
      </c>
      <c r="H7" s="45">
        <f>'Start Here'!$E$6+138</f>
        <v/>
      </c>
      <c r="I7" s="45">
        <f>'Start Here'!$E$6+139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9'!A1"/>
    <hyperlink ref="K4" location="'Dashboard'!A1"/>
    <hyperlink ref="M4" location="'W21'!A1"/>
  </hyperlinks>
  <printOptions horizontalCentered="1"/>
  <pageMargins left="0.3" right="0.3" top="0.3" bottom="0.3" header="0.5" footer="0.5"/>
  <pageSetup orientation="landscape" fitToHeight="1" fitToWidth="1"/>
</worksheet>
</file>

<file path=xl/worksheets/sheet24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20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Here'!$E$6+140</f>
        <v/>
      </c>
      <c r="D7" s="45">
        <f>'Start Here'!$E$6+141</f>
        <v/>
      </c>
      <c r="E7" s="45">
        <f>'Start Here'!$E$6+142</f>
        <v/>
      </c>
      <c r="F7" s="45">
        <f>'Start Here'!$E$6+143</f>
        <v/>
      </c>
      <c r="G7" s="45">
        <f>'Start Here'!$E$6+144</f>
        <v/>
      </c>
      <c r="H7" s="45">
        <f>'Start Here'!$E$6+145</f>
        <v/>
      </c>
      <c r="I7" s="45">
        <f>'Start Here'!$E$6+146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0'!A1"/>
    <hyperlink ref="K4" location="'Dashboard'!A1"/>
    <hyperlink ref="M4" location="'W22'!A1"/>
  </hyperlinks>
  <printOptions horizontalCentered="1"/>
  <pageMargins left="0.3" right="0.3" top="0.3" bottom="0.3" header="0.5" footer="0.5"/>
  <pageSetup orientation="landscape" fitToHeight="1" fitToWidth="1"/>
</worksheet>
</file>

<file path=xl/worksheets/sheet25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23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Here'!$E$6+147</f>
        <v/>
      </c>
      <c r="D7" s="45">
        <f>'Start Here'!$E$6+148</f>
        <v/>
      </c>
      <c r="E7" s="45">
        <f>'Start Here'!$E$6+149</f>
        <v/>
      </c>
      <c r="F7" s="45">
        <f>'Start Here'!$E$6+150</f>
        <v/>
      </c>
      <c r="G7" s="45">
        <f>'Start Here'!$E$6+151</f>
        <v/>
      </c>
      <c r="H7" s="45">
        <f>'Start Here'!$E$6+152</f>
        <v/>
      </c>
      <c r="I7" s="45">
        <f>'Start Here'!$E$6+153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1'!A1"/>
    <hyperlink ref="K4" location="'Dashboard'!A1"/>
    <hyperlink ref="M4" location="'W23'!A1"/>
  </hyperlinks>
  <printOptions horizontalCentered="1"/>
  <pageMargins left="0.3" right="0.3" top="0.3" bottom="0.3" header="0.5" footer="0.5"/>
  <pageSetup orientation="landscape" fitToHeight="1" fitToWidth="1"/>
</worksheet>
</file>

<file path=xl/worksheets/sheet26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23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22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24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Here'!$E$6+154</f>
        <v/>
      </c>
      <c r="D7" s="45">
        <f>'Start Here'!$E$6+155</f>
        <v/>
      </c>
      <c r="E7" s="45">
        <f>'Start Here'!$E$6+156</f>
        <v/>
      </c>
      <c r="F7" s="45">
        <f>'Start Here'!$E$6+157</f>
        <v/>
      </c>
      <c r="G7" s="45">
        <f>'Start Here'!$E$6+158</f>
        <v/>
      </c>
      <c r="H7" s="45">
        <f>'Start Here'!$E$6+159</f>
        <v/>
      </c>
      <c r="I7" s="45">
        <f>'Start Here'!$E$6+160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2'!A1"/>
    <hyperlink ref="K4" location="'Dashboard'!A1"/>
    <hyperlink ref="M4" location="'W24'!A1"/>
  </hyperlinks>
  <printOptions horizontalCentered="1"/>
  <pageMargins left="0.3" right="0.3" top="0.3" bottom="0.3" header="0.5" footer="0.5"/>
  <pageSetup orientation="landscape" fitToHeight="1" fitToWidth="1"/>
</worksheet>
</file>

<file path=xl/worksheets/sheet27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24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25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Here'!$E$6+161</f>
        <v/>
      </c>
      <c r="D7" s="45">
        <f>'Start Here'!$E$6+162</f>
        <v/>
      </c>
      <c r="E7" s="45">
        <f>'Start Here'!$E$6+163</f>
        <v/>
      </c>
      <c r="F7" s="45">
        <f>'Start Here'!$E$6+164</f>
        <v/>
      </c>
      <c r="G7" s="45">
        <f>'Start Here'!$E$6+165</f>
        <v/>
      </c>
      <c r="H7" s="45">
        <f>'Start Here'!$E$6+166</f>
        <v/>
      </c>
      <c r="I7" s="45">
        <f>'Start Here'!$E$6+167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3'!A1"/>
    <hyperlink ref="K4" location="'Dashboard'!A1"/>
    <hyperlink ref="M4" location="'W25'!A1"/>
  </hyperlinks>
  <printOptions horizontalCentered="1"/>
  <pageMargins left="0.3" right="0.3" top="0.3" bottom="0.3" header="0.5" footer="0.5"/>
  <pageSetup orientation="landscape" fitToHeight="1" fitToWidth="1"/>
</worksheet>
</file>

<file path=xl/worksheets/sheet28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25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26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Here'!$E$6+168</f>
        <v/>
      </c>
      <c r="D7" s="45">
        <f>'Start Here'!$E$6+169</f>
        <v/>
      </c>
      <c r="E7" s="45">
        <f>'Start Here'!$E$6+170</f>
        <v/>
      </c>
      <c r="F7" s="45">
        <f>'Start Here'!$E$6+171</f>
        <v/>
      </c>
      <c r="G7" s="45">
        <f>'Start Here'!$E$6+172</f>
        <v/>
      </c>
      <c r="H7" s="45">
        <f>'Start Here'!$E$6+173</f>
        <v/>
      </c>
      <c r="I7" s="45">
        <f>'Start Here'!$E$6+174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4'!A1"/>
    <hyperlink ref="K4" location="'Dashboard'!A1"/>
    <hyperlink ref="M4" location="'W26'!A1"/>
  </hyperlinks>
  <printOptions horizontalCentered="1"/>
  <pageMargins left="0.3" right="0.3" top="0.3" bottom="0.3" header="0.5" footer="0.5"/>
  <pageSetup orientation="landscape" fitToHeight="1" fitToWidth="1"/>
</worksheet>
</file>

<file path=xl/worksheets/sheet29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25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27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Here'!$E$6+175</f>
        <v/>
      </c>
      <c r="D7" s="45">
        <f>'Start Here'!$E$6+176</f>
        <v/>
      </c>
      <c r="E7" s="45">
        <f>'Start Here'!$E$6+177</f>
        <v/>
      </c>
      <c r="F7" s="45">
        <f>'Start Here'!$E$6+178</f>
        <v/>
      </c>
      <c r="G7" s="45">
        <f>'Start Here'!$E$6+179</f>
        <v/>
      </c>
      <c r="H7" s="45">
        <f>'Start Here'!$E$6+180</f>
        <v/>
      </c>
      <c r="I7" s="45">
        <f>'Start Here'!$E$6+181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5'!A1"/>
    <hyperlink ref="K4" location="'Dashboard'!A1"/>
    <hyperlink ref="M4" location="'W27'!A1"/>
  </hyperlinks>
  <printOptions horizontalCentered="1"/>
  <pageMargins left="0.3" right="0.3" top="0.3" bottom="0.3" header="0.5" footer="0.5"/>
  <pageSetup orientation="landscape" fitToHeight="1" fitToWidth="1"/>
</worksheet>
</file>

<file path=xl/worksheets/sheet30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26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28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Here'!$E$6+182</f>
        <v/>
      </c>
      <c r="D7" s="45">
        <f>'Start Here'!$E$6+183</f>
        <v/>
      </c>
      <c r="E7" s="45">
        <f>'Start Here'!$E$6+184</f>
        <v/>
      </c>
      <c r="F7" s="45">
        <f>'Start Here'!$E$6+185</f>
        <v/>
      </c>
      <c r="G7" s="45">
        <f>'Start Here'!$E$6+186</f>
        <v/>
      </c>
      <c r="H7" s="45">
        <f>'Start Here'!$E$6+187</f>
        <v/>
      </c>
      <c r="I7" s="45">
        <f>'Start Here'!$E$6+188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6'!A1"/>
    <hyperlink ref="K4" location="'Dashboard'!A1"/>
    <hyperlink ref="M4" location="'W28'!A1"/>
  </hyperlinks>
  <printOptions horizontalCentered="1"/>
  <pageMargins left="0.3" right="0.3" top="0.3" bottom="0.3" header="0.5" footer="0.5"/>
  <pageSetup orientation="landscape" fitToHeight="1" fitToWidth="1"/>
</worksheet>
</file>

<file path=xl/worksheets/sheet31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28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27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29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Here'!$E$6+189</f>
        <v/>
      </c>
      <c r="D7" s="45">
        <f>'Start Here'!$E$6+190</f>
        <v/>
      </c>
      <c r="E7" s="45">
        <f>'Start Here'!$E$6+191</f>
        <v/>
      </c>
      <c r="F7" s="45">
        <f>'Start Here'!$E$6+192</f>
        <v/>
      </c>
      <c r="G7" s="45">
        <f>'Start Here'!$E$6+193</f>
        <v/>
      </c>
      <c r="H7" s="45">
        <f>'Start Here'!$E$6+194</f>
        <v/>
      </c>
      <c r="I7" s="45">
        <f>'Start Here'!$E$6+195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7'!A1"/>
    <hyperlink ref="K4" location="'Dashboard'!A1"/>
    <hyperlink ref="M4" location="'W29'!A1"/>
  </hyperlinks>
  <printOptions horizontalCentered="1"/>
  <pageMargins left="0.3" right="0.3" top="0.3" bottom="0.3" header="0.5" footer="0.5"/>
  <pageSetup orientation="landscape" fitToHeight="1" fitToWidth="1"/>
</worksheet>
</file>

<file path=xl/worksheets/sheet32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29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28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30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Here'!$E$6+196</f>
        <v/>
      </c>
      <c r="D7" s="45">
        <f>'Start Here'!$E$6+197</f>
        <v/>
      </c>
      <c r="E7" s="45">
        <f>'Start Here'!$E$6+198</f>
        <v/>
      </c>
      <c r="F7" s="45">
        <f>'Start Here'!$E$6+199</f>
        <v/>
      </c>
      <c r="G7" s="45">
        <f>'Start Here'!$E$6+200</f>
        <v/>
      </c>
      <c r="H7" s="45">
        <f>'Start Here'!$E$6+201</f>
        <v/>
      </c>
      <c r="I7" s="45">
        <f>'Start Here'!$E$6+202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8'!A1"/>
    <hyperlink ref="K4" location="'Dashboard'!A1"/>
    <hyperlink ref="M4" location="'W30'!A1"/>
  </hyperlinks>
  <printOptions horizontalCentered="1"/>
  <pageMargins left="0.3" right="0.3" top="0.3" bottom="0.3" header="0.5" footer="0.5"/>
  <pageSetup orientation="landscape" fitToHeight="1" fitToWidth="1"/>
</worksheet>
</file>

<file path=xl/worksheets/sheet33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29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31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Here'!$E$6+203</f>
        <v/>
      </c>
      <c r="D7" s="45">
        <f>'Start Here'!$E$6+204</f>
        <v/>
      </c>
      <c r="E7" s="45">
        <f>'Start Here'!$E$6+205</f>
        <v/>
      </c>
      <c r="F7" s="45">
        <f>'Start Here'!$E$6+206</f>
        <v/>
      </c>
      <c r="G7" s="45">
        <f>'Start Here'!$E$6+207</f>
        <v/>
      </c>
      <c r="H7" s="45">
        <f>'Start Here'!$E$6+208</f>
        <v/>
      </c>
      <c r="I7" s="45">
        <f>'Start Here'!$E$6+209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9'!A1"/>
    <hyperlink ref="K4" location="'Dashboard'!A1"/>
    <hyperlink ref="M4" location="'W31'!A1"/>
  </hyperlinks>
  <printOptions horizontalCentered="1"/>
  <pageMargins left="0.3" right="0.3" top="0.3" bottom="0.3" header="0.5" footer="0.5"/>
  <pageSetup orientation="landscape" fitToHeight="1" fitToWidth="1"/>
</worksheet>
</file>

<file path=xl/worksheets/sheet34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30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Here'!$E$6+210</f>
        <v/>
      </c>
      <c r="D7" s="45">
        <f>'Start Here'!$E$6+211</f>
        <v/>
      </c>
      <c r="E7" s="45">
        <f>'Start Here'!$E$6+212</f>
        <v/>
      </c>
      <c r="F7" s="45">
        <f>'Start Here'!$E$6+213</f>
        <v/>
      </c>
      <c r="G7" s="45">
        <f>'Start Here'!$E$6+214</f>
        <v/>
      </c>
      <c r="H7" s="45">
        <f>'Start Here'!$E$6+215</f>
        <v/>
      </c>
      <c r="I7" s="45">
        <f>'Start Here'!$E$6+216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0'!A1"/>
    <hyperlink ref="K4" location="'Dashboard'!A1"/>
    <hyperlink ref="M4" location="'W32'!A1"/>
  </hyperlinks>
  <printOptions horizontalCentered="1"/>
  <pageMargins left="0.3" right="0.3" top="0.3" bottom="0.3" header="0.5" footer="0.5"/>
  <pageSetup orientation="landscape" fitToHeight="1" fitToWidth="1"/>
</worksheet>
</file>

<file path=xl/worksheets/sheet35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33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Here'!$E$6+217</f>
        <v/>
      </c>
      <c r="D7" s="45">
        <f>'Start Here'!$E$6+218</f>
        <v/>
      </c>
      <c r="E7" s="45">
        <f>'Start Here'!$E$6+219</f>
        <v/>
      </c>
      <c r="F7" s="45">
        <f>'Start Here'!$E$6+220</f>
        <v/>
      </c>
      <c r="G7" s="45">
        <f>'Start Here'!$E$6+221</f>
        <v/>
      </c>
      <c r="H7" s="45">
        <f>'Start Here'!$E$6+222</f>
        <v/>
      </c>
      <c r="I7" s="45">
        <f>'Start Here'!$E$6+223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1'!A1"/>
    <hyperlink ref="K4" location="'Dashboard'!A1"/>
    <hyperlink ref="M4" location="'W33'!A1"/>
  </hyperlinks>
  <printOptions horizontalCentered="1"/>
  <pageMargins left="0.3" right="0.3" top="0.3" bottom="0.3" header="0.5" footer="0.5"/>
  <pageSetup orientation="landscape" fitToHeight="1" fitToWidth="1"/>
</worksheet>
</file>

<file path=xl/worksheets/sheet36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33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32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34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Here'!$E$6+224</f>
        <v/>
      </c>
      <c r="D7" s="45">
        <f>'Start Here'!$E$6+225</f>
        <v/>
      </c>
      <c r="E7" s="45">
        <f>'Start Here'!$E$6+226</f>
        <v/>
      </c>
      <c r="F7" s="45">
        <f>'Start Here'!$E$6+227</f>
        <v/>
      </c>
      <c r="G7" s="45">
        <f>'Start Here'!$E$6+228</f>
        <v/>
      </c>
      <c r="H7" s="45">
        <f>'Start Here'!$E$6+229</f>
        <v/>
      </c>
      <c r="I7" s="45">
        <f>'Start Here'!$E$6+230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2'!A1"/>
    <hyperlink ref="K4" location="'Dashboard'!A1"/>
    <hyperlink ref="M4" location="'W34'!A1"/>
  </hyperlinks>
  <printOptions horizontalCentered="1"/>
  <pageMargins left="0.3" right="0.3" top="0.3" bottom="0.3" header="0.5" footer="0.5"/>
  <pageSetup orientation="landscape" fitToHeight="1" fitToWidth="1"/>
</worksheet>
</file>

<file path=xl/worksheets/sheet37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34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35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Here'!$E$6+231</f>
        <v/>
      </c>
      <c r="D7" s="45">
        <f>'Start Here'!$E$6+232</f>
        <v/>
      </c>
      <c r="E7" s="45">
        <f>'Start Here'!$E$6+233</f>
        <v/>
      </c>
      <c r="F7" s="45">
        <f>'Start Here'!$E$6+234</f>
        <v/>
      </c>
      <c r="G7" s="45">
        <f>'Start Here'!$E$6+235</f>
        <v/>
      </c>
      <c r="H7" s="45">
        <f>'Start Here'!$E$6+236</f>
        <v/>
      </c>
      <c r="I7" s="45">
        <f>'Start Here'!$E$6+237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3'!A1"/>
    <hyperlink ref="K4" location="'Dashboard'!A1"/>
    <hyperlink ref="M4" location="'W35'!A1"/>
  </hyperlinks>
  <printOptions horizontalCentered="1"/>
  <pageMargins left="0.3" right="0.3" top="0.3" bottom="0.3" header="0.5" footer="0.5"/>
  <pageSetup orientation="landscape" fitToHeight="1" fitToWidth="1"/>
</worksheet>
</file>

<file path=xl/worksheets/sheet38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35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36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Here'!$E$6+238</f>
        <v/>
      </c>
      <c r="D7" s="45">
        <f>'Start Here'!$E$6+239</f>
        <v/>
      </c>
      <c r="E7" s="45">
        <f>'Start Here'!$E$6+240</f>
        <v/>
      </c>
      <c r="F7" s="45">
        <f>'Start Here'!$E$6+241</f>
        <v/>
      </c>
      <c r="G7" s="45">
        <f>'Start Here'!$E$6+242</f>
        <v/>
      </c>
      <c r="H7" s="45">
        <f>'Start Here'!$E$6+243</f>
        <v/>
      </c>
      <c r="I7" s="45">
        <f>'Start Here'!$E$6+244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4'!A1"/>
    <hyperlink ref="K4" location="'Dashboard'!A1"/>
    <hyperlink ref="M4" location="'W36'!A1"/>
  </hyperlinks>
  <printOptions horizontalCentered="1"/>
  <pageMargins left="0.3" right="0.3" top="0.3" bottom="0.3" header="0.5" footer="0.5"/>
  <pageSetup orientation="landscape" fitToHeight="1" fitToWidth="1"/>
</worksheet>
</file>

<file path=xl/worksheets/sheet39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35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37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Here'!$E$6+245</f>
        <v/>
      </c>
      <c r="D7" s="45">
        <f>'Start Here'!$E$6+246</f>
        <v/>
      </c>
      <c r="E7" s="45">
        <f>'Start Here'!$E$6+247</f>
        <v/>
      </c>
      <c r="F7" s="45">
        <f>'Start Here'!$E$6+248</f>
        <v/>
      </c>
      <c r="G7" s="45">
        <f>'Start Here'!$E$6+249</f>
        <v/>
      </c>
      <c r="H7" s="45">
        <f>'Start Here'!$E$6+250</f>
        <v/>
      </c>
      <c r="I7" s="45">
        <f>'Start Here'!$E$6+251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5'!A1"/>
    <hyperlink ref="K4" location="'Dashboard'!A1"/>
    <hyperlink ref="M4" location="'W37'!A1"/>
  </hyperlinks>
  <printOptions horizontalCentered="1"/>
  <pageMargins left="0.3" right="0.3" top="0.3" bottom="0.3" header="0.5" footer="0.5"/>
  <pageSetup orientation="landscape" fitToHeight="1" fitToWidth="1"/>
</worksheet>
</file>

<file path=xl/worksheets/sheet40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36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38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Here'!$E$6+252</f>
        <v/>
      </c>
      <c r="D7" s="45">
        <f>'Start Here'!$E$6+253</f>
        <v/>
      </c>
      <c r="E7" s="45">
        <f>'Start Here'!$E$6+254</f>
        <v/>
      </c>
      <c r="F7" s="45">
        <f>'Start Here'!$E$6+255</f>
        <v/>
      </c>
      <c r="G7" s="45">
        <f>'Start Here'!$E$6+256</f>
        <v/>
      </c>
      <c r="H7" s="45">
        <f>'Start Here'!$E$6+257</f>
        <v/>
      </c>
      <c r="I7" s="45">
        <f>'Start Here'!$E$6+258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6'!A1"/>
    <hyperlink ref="K4" location="'Dashboard'!A1"/>
    <hyperlink ref="M4" location="'W38'!A1"/>
  </hyperlinks>
  <printOptions horizontalCentered="1"/>
  <pageMargins left="0.3" right="0.3" top="0.3" bottom="0.3" header="0.5" footer="0.5"/>
  <pageSetup orientation="landscape" fitToHeight="1" fitToWidth="1"/>
</worksheet>
</file>

<file path=xl/worksheets/sheet41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38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37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39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Here'!$E$6+259</f>
        <v/>
      </c>
      <c r="D7" s="45">
        <f>'Start Here'!$E$6+260</f>
        <v/>
      </c>
      <c r="E7" s="45">
        <f>'Start Here'!$E$6+261</f>
        <v/>
      </c>
      <c r="F7" s="45">
        <f>'Start Here'!$E$6+262</f>
        <v/>
      </c>
      <c r="G7" s="45">
        <f>'Start Here'!$E$6+263</f>
        <v/>
      </c>
      <c r="H7" s="45">
        <f>'Start Here'!$E$6+264</f>
        <v/>
      </c>
      <c r="I7" s="45">
        <f>'Start Here'!$E$6+265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7'!A1"/>
    <hyperlink ref="K4" location="'Dashboard'!A1"/>
    <hyperlink ref="M4" location="'W39'!A1"/>
  </hyperlinks>
  <printOptions horizontalCentered="1"/>
  <pageMargins left="0.3" right="0.3" top="0.3" bottom="0.3" header="0.5" footer="0.5"/>
  <pageSetup orientation="landscape" fitToHeight="1" fitToWidth="1"/>
</worksheet>
</file>

<file path=xl/worksheets/sheet42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39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38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40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Here'!$E$6+266</f>
        <v/>
      </c>
      <c r="D7" s="45">
        <f>'Start Here'!$E$6+267</f>
        <v/>
      </c>
      <c r="E7" s="45">
        <f>'Start Here'!$E$6+268</f>
        <v/>
      </c>
      <c r="F7" s="45">
        <f>'Start Here'!$E$6+269</f>
        <v/>
      </c>
      <c r="G7" s="45">
        <f>'Start Here'!$E$6+270</f>
        <v/>
      </c>
      <c r="H7" s="45">
        <f>'Start Here'!$E$6+271</f>
        <v/>
      </c>
      <c r="I7" s="45">
        <f>'Start Here'!$E$6+272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8'!A1"/>
    <hyperlink ref="K4" location="'Dashboard'!A1"/>
    <hyperlink ref="M4" location="'W40'!A1"/>
  </hyperlinks>
  <printOptions horizontalCentered="1"/>
  <pageMargins left="0.3" right="0.3" top="0.3" bottom="0.3" header="0.5" footer="0.5"/>
  <pageSetup orientation="landscape" fitToHeight="1" fitToWidth="1"/>
</worksheet>
</file>

<file path=xl/worksheets/sheet43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39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41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Here'!$E$6+273</f>
        <v/>
      </c>
      <c r="D7" s="45">
        <f>'Start Here'!$E$6+274</f>
        <v/>
      </c>
      <c r="E7" s="45">
        <f>'Start Here'!$E$6+275</f>
        <v/>
      </c>
      <c r="F7" s="45">
        <f>'Start Here'!$E$6+276</f>
        <v/>
      </c>
      <c r="G7" s="45">
        <f>'Start Here'!$E$6+277</f>
        <v/>
      </c>
      <c r="H7" s="45">
        <f>'Start Here'!$E$6+278</f>
        <v/>
      </c>
      <c r="I7" s="45">
        <f>'Start Here'!$E$6+279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9'!A1"/>
    <hyperlink ref="K4" location="'Dashboard'!A1"/>
    <hyperlink ref="M4" location="'W41'!A1"/>
  </hyperlinks>
  <printOptions horizontalCentered="1"/>
  <pageMargins left="0.3" right="0.3" top="0.3" bottom="0.3" header="0.5" footer="0.5"/>
  <pageSetup orientation="landscape" fitToHeight="1" fitToWidth="1"/>
</worksheet>
</file>

<file path=xl/worksheets/sheet44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40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Here'!$E$6+280</f>
        <v/>
      </c>
      <c r="D7" s="45">
        <f>'Start Here'!$E$6+281</f>
        <v/>
      </c>
      <c r="E7" s="45">
        <f>'Start Here'!$E$6+282</f>
        <v/>
      </c>
      <c r="F7" s="45">
        <f>'Start Here'!$E$6+283</f>
        <v/>
      </c>
      <c r="G7" s="45">
        <f>'Start Here'!$E$6+284</f>
        <v/>
      </c>
      <c r="H7" s="45">
        <f>'Start Here'!$E$6+285</f>
        <v/>
      </c>
      <c r="I7" s="45">
        <f>'Start Here'!$E$6+286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0'!A1"/>
    <hyperlink ref="K4" location="'Dashboard'!A1"/>
    <hyperlink ref="M4" location="'W42'!A1"/>
  </hyperlinks>
  <printOptions horizontalCentered="1"/>
  <pageMargins left="0.3" right="0.3" top="0.3" bottom="0.3" header="0.5" footer="0.5"/>
  <pageSetup orientation="landscape" fitToHeight="1" fitToWidth="1"/>
</worksheet>
</file>

<file path=xl/worksheets/sheet45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43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Here'!$E$6+287</f>
        <v/>
      </c>
      <c r="D7" s="45">
        <f>'Start Here'!$E$6+288</f>
        <v/>
      </c>
      <c r="E7" s="45">
        <f>'Start Here'!$E$6+289</f>
        <v/>
      </c>
      <c r="F7" s="45">
        <f>'Start Here'!$E$6+290</f>
        <v/>
      </c>
      <c r="G7" s="45">
        <f>'Start Here'!$E$6+291</f>
        <v/>
      </c>
      <c r="H7" s="45">
        <f>'Start Here'!$E$6+292</f>
        <v/>
      </c>
      <c r="I7" s="45">
        <f>'Start Here'!$E$6+293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1'!A1"/>
    <hyperlink ref="K4" location="'Dashboard'!A1"/>
    <hyperlink ref="M4" location="'W43'!A1"/>
  </hyperlinks>
  <printOptions horizontalCentered="1"/>
  <pageMargins left="0.3" right="0.3" top="0.3" bottom="0.3" header="0.5" footer="0.5"/>
  <pageSetup orientation="landscape" fitToHeight="1" fitToWidth="1"/>
</worksheet>
</file>

<file path=xl/worksheets/sheet46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43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42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44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Here'!$E$6+294</f>
        <v/>
      </c>
      <c r="D7" s="45">
        <f>'Start Here'!$E$6+295</f>
        <v/>
      </c>
      <c r="E7" s="45">
        <f>'Start Here'!$E$6+296</f>
        <v/>
      </c>
      <c r="F7" s="45">
        <f>'Start Here'!$E$6+297</f>
        <v/>
      </c>
      <c r="G7" s="45">
        <f>'Start Here'!$E$6+298</f>
        <v/>
      </c>
      <c r="H7" s="45">
        <f>'Start Here'!$E$6+299</f>
        <v/>
      </c>
      <c r="I7" s="45">
        <f>'Start Here'!$E$6+300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2'!A1"/>
    <hyperlink ref="K4" location="'Dashboard'!A1"/>
    <hyperlink ref="M4" location="'W44'!A1"/>
  </hyperlinks>
  <printOptions horizontalCentered="1"/>
  <pageMargins left="0.3" right="0.3" top="0.3" bottom="0.3" header="0.5" footer="0.5"/>
  <pageSetup orientation="landscape" fitToHeight="1" fitToWidth="1"/>
</worksheet>
</file>

<file path=xl/worksheets/sheet47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44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45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Here'!$E$6+301</f>
        <v/>
      </c>
      <c r="D7" s="45">
        <f>'Start Here'!$E$6+302</f>
        <v/>
      </c>
      <c r="E7" s="45">
        <f>'Start Here'!$E$6+303</f>
        <v/>
      </c>
      <c r="F7" s="45">
        <f>'Start Here'!$E$6+304</f>
        <v/>
      </c>
      <c r="G7" s="45">
        <f>'Start Here'!$E$6+305</f>
        <v/>
      </c>
      <c r="H7" s="45">
        <f>'Start Here'!$E$6+306</f>
        <v/>
      </c>
      <c r="I7" s="45">
        <f>'Start Here'!$E$6+307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3'!A1"/>
    <hyperlink ref="K4" location="'Dashboard'!A1"/>
    <hyperlink ref="M4" location="'W45'!A1"/>
  </hyperlinks>
  <printOptions horizontalCentered="1"/>
  <pageMargins left="0.3" right="0.3" top="0.3" bottom="0.3" header="0.5" footer="0.5"/>
  <pageSetup orientation="landscape" fitToHeight="1" fitToWidth="1"/>
</worksheet>
</file>

<file path=xl/worksheets/sheet48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45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46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Here'!$E$6+308</f>
        <v/>
      </c>
      <c r="D7" s="45">
        <f>'Start Here'!$E$6+309</f>
        <v/>
      </c>
      <c r="E7" s="45">
        <f>'Start Here'!$E$6+310</f>
        <v/>
      </c>
      <c r="F7" s="45">
        <f>'Start Here'!$E$6+311</f>
        <v/>
      </c>
      <c r="G7" s="45">
        <f>'Start Here'!$E$6+312</f>
        <v/>
      </c>
      <c r="H7" s="45">
        <f>'Start Here'!$E$6+313</f>
        <v/>
      </c>
      <c r="I7" s="45">
        <f>'Start Here'!$E$6+314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4'!A1"/>
    <hyperlink ref="K4" location="'Dashboard'!A1"/>
    <hyperlink ref="M4" location="'W46'!A1"/>
  </hyperlinks>
  <printOptions horizontalCentered="1"/>
  <pageMargins left="0.3" right="0.3" top="0.3" bottom="0.3" header="0.5" footer="0.5"/>
  <pageSetup orientation="landscape" fitToHeight="1" fitToWidth="1"/>
</worksheet>
</file>

<file path=xl/worksheets/sheet49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45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47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Here'!$E$6+315</f>
        <v/>
      </c>
      <c r="D7" s="45">
        <f>'Start Here'!$E$6+316</f>
        <v/>
      </c>
      <c r="E7" s="45">
        <f>'Start Here'!$E$6+317</f>
        <v/>
      </c>
      <c r="F7" s="45">
        <f>'Start Here'!$E$6+318</f>
        <v/>
      </c>
      <c r="G7" s="45">
        <f>'Start Here'!$E$6+319</f>
        <v/>
      </c>
      <c r="H7" s="45">
        <f>'Start Here'!$E$6+320</f>
        <v/>
      </c>
      <c r="I7" s="45">
        <f>'Start Here'!$E$6+321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5'!A1"/>
    <hyperlink ref="K4" location="'Dashboard'!A1"/>
    <hyperlink ref="M4" location="'W47'!A1"/>
  </hyperlinks>
  <printOptions horizontalCentered="1"/>
  <pageMargins left="0.3" right="0.3" top="0.3" bottom="0.3" header="0.5" footer="0.5"/>
  <pageSetup orientation="landscape" fitToHeight="1" fitToWidth="1"/>
</worksheet>
</file>

<file path=xl/worksheets/sheet50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46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48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Here'!$E$6+322</f>
        <v/>
      </c>
      <c r="D7" s="45">
        <f>'Start Here'!$E$6+323</f>
        <v/>
      </c>
      <c r="E7" s="45">
        <f>'Start Here'!$E$6+324</f>
        <v/>
      </c>
      <c r="F7" s="45">
        <f>'Start Here'!$E$6+325</f>
        <v/>
      </c>
      <c r="G7" s="45">
        <f>'Start Here'!$E$6+326</f>
        <v/>
      </c>
      <c r="H7" s="45">
        <f>'Start Here'!$E$6+327</f>
        <v/>
      </c>
      <c r="I7" s="45">
        <f>'Start Here'!$E$6+328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6'!A1"/>
    <hyperlink ref="K4" location="'Dashboard'!A1"/>
    <hyperlink ref="M4" location="'W48'!A1"/>
  </hyperlinks>
  <printOptions horizontalCentered="1"/>
  <pageMargins left="0.3" right="0.3" top="0.3" bottom="0.3" header="0.5" footer="0.5"/>
  <pageSetup orientation="landscape" fitToHeight="1" fitToWidth="1"/>
</worksheet>
</file>

<file path=xl/worksheets/sheet51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48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47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49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Here'!$E$6+329</f>
        <v/>
      </c>
      <c r="D7" s="45">
        <f>'Start Here'!$E$6+330</f>
        <v/>
      </c>
      <c r="E7" s="45">
        <f>'Start Here'!$E$6+331</f>
        <v/>
      </c>
      <c r="F7" s="45">
        <f>'Start Here'!$E$6+332</f>
        <v/>
      </c>
      <c r="G7" s="45">
        <f>'Start Here'!$E$6+333</f>
        <v/>
      </c>
      <c r="H7" s="45">
        <f>'Start Here'!$E$6+334</f>
        <v/>
      </c>
      <c r="I7" s="45">
        <f>'Start Here'!$E$6+335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7'!A1"/>
    <hyperlink ref="K4" location="'Dashboard'!A1"/>
    <hyperlink ref="M4" location="'W49'!A1"/>
  </hyperlinks>
  <printOptions horizontalCentered="1"/>
  <pageMargins left="0.3" right="0.3" top="0.3" bottom="0.3" header="0.5" footer="0.5"/>
  <pageSetup orientation="landscape" fitToHeight="1" fitToWidth="1"/>
</worksheet>
</file>

<file path=xl/worksheets/sheet52.xml><?xml version="1.0" encoding="utf-8"?>
<worksheet xmlns="http://schemas.openxmlformats.org/spreadsheetml/2006/main">
  <sheetPr>
    <tabColor rgb="004ADE80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49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48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50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Here'!$E$6+336</f>
        <v/>
      </c>
      <c r="D7" s="45">
        <f>'Start Here'!$E$6+337</f>
        <v/>
      </c>
      <c r="E7" s="45">
        <f>'Start Here'!$E$6+338</f>
        <v/>
      </c>
      <c r="F7" s="45">
        <f>'Start Here'!$E$6+339</f>
        <v/>
      </c>
      <c r="G7" s="45">
        <f>'Start Here'!$E$6+340</f>
        <v/>
      </c>
      <c r="H7" s="45">
        <f>'Start Here'!$E$6+341</f>
        <v/>
      </c>
      <c r="I7" s="45">
        <f>'Start Here'!$E$6+342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8'!A1"/>
    <hyperlink ref="K4" location="'Dashboard'!A1"/>
    <hyperlink ref="M4" location="'W50'!A1"/>
  </hyperlinks>
  <printOptions horizontalCentered="1"/>
  <pageMargins left="0.3" right="0.3" top="0.3" bottom="0.3" header="0.5" footer="0.5"/>
  <pageSetup orientation="landscape" fitToHeight="1" fitToWidth="1"/>
</worksheet>
</file>

<file path=xl/worksheets/sheet53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50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49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51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Here'!$E$6+343</f>
        <v/>
      </c>
      <c r="D7" s="45">
        <f>'Start Here'!$E$6+344</f>
        <v/>
      </c>
      <c r="E7" s="45">
        <f>'Start Here'!$E$6+345</f>
        <v/>
      </c>
      <c r="F7" s="45">
        <f>'Start Here'!$E$6+346</f>
        <v/>
      </c>
      <c r="G7" s="45">
        <f>'Start Here'!$E$6+347</f>
        <v/>
      </c>
      <c r="H7" s="45">
        <f>'Start Here'!$E$6+348</f>
        <v/>
      </c>
      <c r="I7" s="45">
        <f>'Start Here'!$E$6+349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9'!A1"/>
    <hyperlink ref="K4" location="'Dashboard'!A1"/>
    <hyperlink ref="M4" location="'W51'!A1"/>
  </hyperlinks>
  <printOptions horizontalCentered="1"/>
  <pageMargins left="0.3" right="0.3" top="0.3" bottom="0.3" header="0.5" footer="0.5"/>
  <pageSetup orientation="landscape" fitToHeight="1" fitToWidth="1"/>
</worksheet>
</file>

<file path=xl/worksheets/sheet54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51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50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52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Here'!$E$6+350</f>
        <v/>
      </c>
      <c r="D7" s="45">
        <f>'Start Here'!$E$6+351</f>
        <v/>
      </c>
      <c r="E7" s="45">
        <f>'Start Here'!$E$6+352</f>
        <v/>
      </c>
      <c r="F7" s="45">
        <f>'Start Here'!$E$6+353</f>
        <v/>
      </c>
      <c r="G7" s="45">
        <f>'Start Here'!$E$6+354</f>
        <v/>
      </c>
      <c r="H7" s="45">
        <f>'Start Here'!$E$6+355</f>
        <v/>
      </c>
      <c r="I7" s="45">
        <f>'Start Here'!$E$6+356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50'!A1"/>
    <hyperlink ref="K4" location="'Dashboard'!A1"/>
    <hyperlink ref="M4" location="'W52'!A1"/>
  </hyperlinks>
  <printOptions horizontalCentered="1"/>
  <pageMargins left="0.3" right="0.3" top="0.3" bottom="0.3" header="0.5" footer="0.5"/>
  <pageSetup orientation="landscape" fitToHeight="1" fitToWidth="1"/>
</worksheet>
</file>

<file path=xl/worksheets/sheet55.xml><?xml version="1.0" encoding="utf-8"?>
<worksheet xmlns="http://schemas.openxmlformats.org/spreadsheetml/2006/main">
  <sheetPr>
    <tabColor rgb="00354A3E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52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51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DASHBOARD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Here'!$E$6+357</f>
        <v/>
      </c>
      <c r="D7" s="45">
        <f>'Start Here'!$E$6+358</f>
        <v/>
      </c>
      <c r="E7" s="45">
        <f>'Start Here'!$E$6+359</f>
        <v/>
      </c>
      <c r="F7" s="45">
        <f>'Start Here'!$E$6+360</f>
        <v/>
      </c>
      <c r="G7" s="45">
        <f>'Start Here'!$E$6+361</f>
        <v/>
      </c>
      <c r="H7" s="45">
        <f>'Start Here'!$E$6+362</f>
        <v/>
      </c>
      <c r="I7" s="45">
        <f>'Start Here'!$E$6+363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51'!A1"/>
    <hyperlink ref="K4" location="'Dashboard'!A1"/>
    <hyperlink ref="M4" location="'Dashboard'!A1"/>
  </hyperlinks>
  <printOptions horizontalCentered="1"/>
  <pageMargins left="0.3" right="0.3" top="0.3" bottom="0.3" header="0.5" footer="0.5"/>
  <pageSetup orientation="landscape" fitToHeight="1" fitToWidth="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F366"/>
  <sheetViews>
    <sheetView showGridLines="0" workbookViewId="0">
      <selection activeCell="A1" sqref="A1"/>
    </sheetView>
  </sheetViews>
  <sheetFormatPr baseColWidth="8" defaultRowHeight="15"/>
  <sheetData>
    <row r="1">
      <c r="A1" s="56" t="inlineStr">
        <is>
          <t>DATE</t>
        </is>
      </c>
      <c r="B1" s="56" t="inlineStr">
        <is>
          <t>WEEK</t>
        </is>
      </c>
      <c r="C1" s="56" t="inlineStr">
        <is>
          <t>DOW</t>
        </is>
      </c>
      <c r="D1" s="56" t="inlineStr">
        <is>
          <t>DONE1</t>
        </is>
      </c>
      <c r="E1" s="56" t="inlineStr">
        <is>
          <t>DONE2</t>
        </is>
      </c>
      <c r="F1" s="56" t="inlineStr">
        <is>
          <t>DONE3</t>
        </is>
      </c>
      <c r="G1" s="56" t="inlineStr">
        <is>
          <t>DONE4</t>
        </is>
      </c>
      <c r="H1" s="56" t="inlineStr">
        <is>
          <t>DONE5</t>
        </is>
      </c>
      <c r="I1" s="56" t="inlineStr">
        <is>
          <t>DONE6</t>
        </is>
      </c>
      <c r="J1" s="56" t="inlineStr">
        <is>
          <t>DONE7</t>
        </is>
      </c>
      <c r="K1" s="56" t="inlineStr">
        <is>
          <t>DONE8</t>
        </is>
      </c>
      <c r="L1" s="56" t="inlineStr">
        <is>
          <t>DONE9</t>
        </is>
      </c>
      <c r="M1" s="56" t="inlineStr">
        <is>
          <t>DONE10</t>
        </is>
      </c>
      <c r="O1" s="56" t="inlineStr">
        <is>
          <t>STREAK1</t>
        </is>
      </c>
      <c r="P1" s="56" t="inlineStr">
        <is>
          <t>STREAK2</t>
        </is>
      </c>
      <c r="Q1" s="56" t="inlineStr">
        <is>
          <t>STREAK3</t>
        </is>
      </c>
      <c r="R1" s="56" t="inlineStr">
        <is>
          <t>STREAK4</t>
        </is>
      </c>
      <c r="S1" s="56" t="inlineStr">
        <is>
          <t>STREAK5</t>
        </is>
      </c>
      <c r="T1" s="56" t="inlineStr">
        <is>
          <t>STREAK6</t>
        </is>
      </c>
      <c r="U1" s="56" t="inlineStr">
        <is>
          <t>STREAK7</t>
        </is>
      </c>
      <c r="V1" s="56" t="inlineStr">
        <is>
          <t>STREAK8</t>
        </is>
      </c>
      <c r="W1" s="56" t="inlineStr">
        <is>
          <t>STREAK9</t>
        </is>
      </c>
      <c r="X1" s="56" t="inlineStr">
        <is>
          <t>STREAK10</t>
        </is>
      </c>
      <c r="Z1" s="56" t="inlineStr">
        <is>
          <t>HABIT</t>
        </is>
      </c>
      <c r="AA1" s="56" t="inlineStr">
        <is>
          <t>CURRENT</t>
        </is>
      </c>
      <c r="AB1" s="56" t="inlineStr">
        <is>
          <t>BEST</t>
        </is>
      </c>
      <c r="AC1" s="56" t="inlineStr">
        <is>
          <t>TOTAL</t>
        </is>
      </c>
      <c r="AD1" s="56" t="inlineStr">
        <is>
          <t>TODAY</t>
        </is>
      </c>
      <c r="AE1" s="56" t="inlineStr">
        <is>
          <t>NEXTBADGE</t>
        </is>
      </c>
      <c r="AF1" s="56" t="inlineStr">
        <is>
          <t>TOGO</t>
        </is>
      </c>
    </row>
    <row r="2">
      <c r="A2" s="57">
        <f>'Start Here'!$E$6-1</f>
        <v/>
      </c>
      <c r="D2" s="57" t="n">
        <v>0</v>
      </c>
      <c r="E2" s="57" t="n">
        <v>0</v>
      </c>
      <c r="F2" s="57" t="n">
        <v>0</v>
      </c>
      <c r="G2" s="57" t="n">
        <v>0</v>
      </c>
      <c r="H2" s="57" t="n">
        <v>0</v>
      </c>
      <c r="I2" s="57" t="n">
        <v>0</v>
      </c>
      <c r="J2" s="57" t="n">
        <v>0</v>
      </c>
      <c r="K2" s="57" t="n">
        <v>0</v>
      </c>
      <c r="L2" s="57" t="n">
        <v>0</v>
      </c>
      <c r="M2" s="57" t="n">
        <v>0</v>
      </c>
      <c r="O2" s="57" t="n">
        <v>0</v>
      </c>
      <c r="P2" s="57" t="n">
        <v>0</v>
      </c>
      <c r="Q2" s="57" t="n">
        <v>0</v>
      </c>
      <c r="R2" s="57" t="n">
        <v>0</v>
      </c>
      <c r="S2" s="57" t="n">
        <v>0</v>
      </c>
      <c r="T2" s="57" t="n">
        <v>0</v>
      </c>
      <c r="U2" s="57" t="n">
        <v>0</v>
      </c>
      <c r="V2" s="57" t="n">
        <v>0</v>
      </c>
      <c r="W2" s="57" t="n">
        <v>0</v>
      </c>
      <c r="X2" s="57" t="n">
        <v>0</v>
      </c>
      <c r="Z2" s="57">
        <f>IF('Start Here'!C11="","",'Start Here'!C11)</f>
        <v/>
      </c>
      <c r="AA2" s="57">
        <f>MAX(IFERROR(LOOKUP(2,1/($A$3:$A$366&lt;=TODAY()),O$3:O$366),0),IFERROR(LOOKUP(2,1/($A$3:$A$366&lt;=TODAY()-1),O$3:O$366),0))</f>
        <v/>
      </c>
      <c r="AB2" s="57">
        <f>MAX(O$3:O$366)</f>
        <v/>
      </c>
      <c r="AC2" s="57">
        <f>SUM(D$3:D$366)</f>
        <v/>
      </c>
      <c r="AD2" s="57">
        <f>IFERROR(INDEX(D$3:D$366,MATCH(TODAY(),$A$3:$A$366,0)),0)</f>
        <v/>
      </c>
      <c r="AE2" s="57">
        <f>IF(AB2&gt;=7,IF(AB2&gt;=30,IF(AB2&gt;=100,IF(AB2&gt;=365,"",365),100),30),7)</f>
        <v/>
      </c>
      <c r="AF2" s="57">
        <f>IF(AE2="","",MAX(0,AE2-AA2))</f>
        <v/>
      </c>
    </row>
    <row r="3">
      <c r="A3" s="58">
        <f>'Start Here'!$E$6</f>
        <v/>
      </c>
      <c r="B3" t="n">
        <v>1</v>
      </c>
      <c r="C3" t="inlineStr">
        <is>
          <t>MON</t>
        </is>
      </c>
      <c r="D3">
        <f>IF(AND(W01!C9&lt;&gt;"",W01!C9&lt;&gt;"✗"),1,0)</f>
        <v/>
      </c>
      <c r="E3">
        <f>IF(AND(W01!C10&lt;&gt;"",W01!C10&lt;&gt;"✗"),1,0)</f>
        <v/>
      </c>
      <c r="F3">
        <f>IF(AND(W01!C11&lt;&gt;"",W01!C11&lt;&gt;"✗"),1,0)</f>
        <v/>
      </c>
      <c r="G3">
        <f>IF(AND(W01!C12&lt;&gt;"",W01!C12&lt;&gt;"✗"),1,0)</f>
        <v/>
      </c>
      <c r="H3">
        <f>IF(AND(W01!C13&lt;&gt;"",W01!C13&lt;&gt;"✗"),1,0)</f>
        <v/>
      </c>
      <c r="I3">
        <f>IF(AND(W01!C14&lt;&gt;"",W01!C14&lt;&gt;"✗"),1,0)</f>
        <v/>
      </c>
      <c r="J3">
        <f>IF(AND(W01!C15&lt;&gt;"",W01!C15&lt;&gt;"✗"),1,0)</f>
        <v/>
      </c>
      <c r="K3">
        <f>IF(AND(W01!C16&lt;&gt;"",W01!C16&lt;&gt;"✗"),1,0)</f>
        <v/>
      </c>
      <c r="L3">
        <f>IF(AND(W01!C17&lt;&gt;"",W01!C17&lt;&gt;"✗"),1,0)</f>
        <v/>
      </c>
      <c r="M3">
        <f>IF(AND(W01!C18&lt;&gt;"",W01!C18&lt;&gt;"✗"),1,0)</f>
        <v/>
      </c>
      <c r="O3">
        <f>IF(D3=1,O2+1,0)</f>
        <v/>
      </c>
      <c r="P3">
        <f>IF(E3=1,P2+1,0)</f>
        <v/>
      </c>
      <c r="Q3">
        <f>IF(F3=1,Q2+1,0)</f>
        <v/>
      </c>
      <c r="R3">
        <f>IF(G3=1,R2+1,0)</f>
        <v/>
      </c>
      <c r="S3">
        <f>IF(H3=1,S2+1,0)</f>
        <v/>
      </c>
      <c r="T3">
        <f>IF(I3=1,T2+1,0)</f>
        <v/>
      </c>
      <c r="U3">
        <f>IF(J3=1,U2+1,0)</f>
        <v/>
      </c>
      <c r="V3">
        <f>IF(K3=1,V2+1,0)</f>
        <v/>
      </c>
      <c r="W3">
        <f>IF(L3=1,W2+1,0)</f>
        <v/>
      </c>
      <c r="X3">
        <f>IF(M3=1,X2+1,0)</f>
        <v/>
      </c>
      <c r="Z3" s="57">
        <f>IF('Start Here'!C12="","",'Start Here'!C12)</f>
        <v/>
      </c>
      <c r="AA3" s="57">
        <f>MAX(IFERROR(LOOKUP(2,1/($A$3:$A$366&lt;=TODAY()),P$3:P$366),0),IFERROR(LOOKUP(2,1/($A$3:$A$366&lt;=TODAY()-1),P$3:P$366),0))</f>
        <v/>
      </c>
      <c r="AB3" s="57">
        <f>MAX(P$3:P$366)</f>
        <v/>
      </c>
      <c r="AC3" s="57">
        <f>SUM(E$3:E$366)</f>
        <v/>
      </c>
      <c r="AD3" s="57">
        <f>IFERROR(INDEX(E$3:E$366,MATCH(TODAY(),$A$3:$A$366,0)),0)</f>
        <v/>
      </c>
      <c r="AE3" s="57">
        <f>IF(AB3&gt;=7,IF(AB3&gt;=30,IF(AB3&gt;=100,IF(AB3&gt;=365,"",365),100),30),7)</f>
        <v/>
      </c>
      <c r="AF3" s="57">
        <f>IF(AE3="","",MAX(0,AE3-AA3))</f>
        <v/>
      </c>
    </row>
    <row r="4">
      <c r="A4" s="58">
        <f>'Start Here'!$E$6+1</f>
        <v/>
      </c>
      <c r="B4" t="n">
        <v>1</v>
      </c>
      <c r="C4" t="inlineStr">
        <is>
          <t>TUE</t>
        </is>
      </c>
      <c r="D4">
        <f>IF(AND(W01!D9&lt;&gt;"",W01!D9&lt;&gt;"✗"),1,0)</f>
        <v/>
      </c>
      <c r="E4">
        <f>IF(AND(W01!D10&lt;&gt;"",W01!D10&lt;&gt;"✗"),1,0)</f>
        <v/>
      </c>
      <c r="F4">
        <f>IF(AND(W01!D11&lt;&gt;"",W01!D11&lt;&gt;"✗"),1,0)</f>
        <v/>
      </c>
      <c r="G4">
        <f>IF(AND(W01!D12&lt;&gt;"",W01!D12&lt;&gt;"✗"),1,0)</f>
        <v/>
      </c>
      <c r="H4">
        <f>IF(AND(W01!D13&lt;&gt;"",W01!D13&lt;&gt;"✗"),1,0)</f>
        <v/>
      </c>
      <c r="I4">
        <f>IF(AND(W01!D14&lt;&gt;"",W01!D14&lt;&gt;"✗"),1,0)</f>
        <v/>
      </c>
      <c r="J4">
        <f>IF(AND(W01!D15&lt;&gt;"",W01!D15&lt;&gt;"✗"),1,0)</f>
        <v/>
      </c>
      <c r="K4">
        <f>IF(AND(W01!D16&lt;&gt;"",W01!D16&lt;&gt;"✗"),1,0)</f>
        <v/>
      </c>
      <c r="L4">
        <f>IF(AND(W01!D17&lt;&gt;"",W01!D17&lt;&gt;"✗"),1,0)</f>
        <v/>
      </c>
      <c r="M4">
        <f>IF(AND(W01!D18&lt;&gt;"",W01!D18&lt;&gt;"✗"),1,0)</f>
        <v/>
      </c>
      <c r="O4">
        <f>IF(D4=1,O3+1,0)</f>
        <v/>
      </c>
      <c r="P4">
        <f>IF(E4=1,P3+1,0)</f>
        <v/>
      </c>
      <c r="Q4">
        <f>IF(F4=1,Q3+1,0)</f>
        <v/>
      </c>
      <c r="R4">
        <f>IF(G4=1,R3+1,0)</f>
        <v/>
      </c>
      <c r="S4">
        <f>IF(H4=1,S3+1,0)</f>
        <v/>
      </c>
      <c r="T4">
        <f>IF(I4=1,T3+1,0)</f>
        <v/>
      </c>
      <c r="U4">
        <f>IF(J4=1,U3+1,0)</f>
        <v/>
      </c>
      <c r="V4">
        <f>IF(K4=1,V3+1,0)</f>
        <v/>
      </c>
      <c r="W4">
        <f>IF(L4=1,W3+1,0)</f>
        <v/>
      </c>
      <c r="X4">
        <f>IF(M4=1,X3+1,0)</f>
        <v/>
      </c>
      <c r="Z4" s="57">
        <f>IF('Start Here'!C13="","",'Start Here'!C13)</f>
        <v/>
      </c>
      <c r="AA4" s="57">
        <f>MAX(IFERROR(LOOKUP(2,1/($A$3:$A$366&lt;=TODAY()),Q$3:Q$366),0),IFERROR(LOOKUP(2,1/($A$3:$A$366&lt;=TODAY()-1),Q$3:Q$366),0))</f>
        <v/>
      </c>
      <c r="AB4" s="57">
        <f>MAX(Q$3:Q$366)</f>
        <v/>
      </c>
      <c r="AC4" s="57">
        <f>SUM(F$3:F$366)</f>
        <v/>
      </c>
      <c r="AD4" s="57">
        <f>IFERROR(INDEX(F$3:F$366,MATCH(TODAY(),$A$3:$A$366,0)),0)</f>
        <v/>
      </c>
      <c r="AE4" s="57">
        <f>IF(AB4&gt;=7,IF(AB4&gt;=30,IF(AB4&gt;=100,IF(AB4&gt;=365,"",365),100),30),7)</f>
        <v/>
      </c>
      <c r="AF4" s="57">
        <f>IF(AE4="","",MAX(0,AE4-AA4))</f>
        <v/>
      </c>
    </row>
    <row r="5">
      <c r="A5" s="58">
        <f>'Start Here'!$E$6+2</f>
        <v/>
      </c>
      <c r="B5" t="n">
        <v>1</v>
      </c>
      <c r="C5" t="inlineStr">
        <is>
          <t>WED</t>
        </is>
      </c>
      <c r="D5">
        <f>IF(AND(W01!E9&lt;&gt;"",W01!E9&lt;&gt;"✗"),1,0)</f>
        <v/>
      </c>
      <c r="E5">
        <f>IF(AND(W01!E10&lt;&gt;"",W01!E10&lt;&gt;"✗"),1,0)</f>
        <v/>
      </c>
      <c r="F5">
        <f>IF(AND(W01!E11&lt;&gt;"",W01!E11&lt;&gt;"✗"),1,0)</f>
        <v/>
      </c>
      <c r="G5">
        <f>IF(AND(W01!E12&lt;&gt;"",W01!E12&lt;&gt;"✗"),1,0)</f>
        <v/>
      </c>
      <c r="H5">
        <f>IF(AND(W01!E13&lt;&gt;"",W01!E13&lt;&gt;"✗"),1,0)</f>
        <v/>
      </c>
      <c r="I5">
        <f>IF(AND(W01!E14&lt;&gt;"",W01!E14&lt;&gt;"✗"),1,0)</f>
        <v/>
      </c>
      <c r="J5">
        <f>IF(AND(W01!E15&lt;&gt;"",W01!E15&lt;&gt;"✗"),1,0)</f>
        <v/>
      </c>
      <c r="K5">
        <f>IF(AND(W01!E16&lt;&gt;"",W01!E16&lt;&gt;"✗"),1,0)</f>
        <v/>
      </c>
      <c r="L5">
        <f>IF(AND(W01!E17&lt;&gt;"",W01!E17&lt;&gt;"✗"),1,0)</f>
        <v/>
      </c>
      <c r="M5">
        <f>IF(AND(W01!E18&lt;&gt;"",W01!E18&lt;&gt;"✗"),1,0)</f>
        <v/>
      </c>
      <c r="O5">
        <f>IF(D5=1,O4+1,0)</f>
        <v/>
      </c>
      <c r="P5">
        <f>IF(E5=1,P4+1,0)</f>
        <v/>
      </c>
      <c r="Q5">
        <f>IF(F5=1,Q4+1,0)</f>
        <v/>
      </c>
      <c r="R5">
        <f>IF(G5=1,R4+1,0)</f>
        <v/>
      </c>
      <c r="S5">
        <f>IF(H5=1,S4+1,0)</f>
        <v/>
      </c>
      <c r="T5">
        <f>IF(I5=1,T4+1,0)</f>
        <v/>
      </c>
      <c r="U5">
        <f>IF(J5=1,U4+1,0)</f>
        <v/>
      </c>
      <c r="V5">
        <f>IF(K5=1,V4+1,0)</f>
        <v/>
      </c>
      <c r="W5">
        <f>IF(L5=1,W4+1,0)</f>
        <v/>
      </c>
      <c r="X5">
        <f>IF(M5=1,X4+1,0)</f>
        <v/>
      </c>
      <c r="Z5" s="57">
        <f>IF('Start Here'!C14="","",'Start Here'!C14)</f>
        <v/>
      </c>
      <c r="AA5" s="57">
        <f>MAX(IFERROR(LOOKUP(2,1/($A$3:$A$366&lt;=TODAY()),R$3:R$366),0),IFERROR(LOOKUP(2,1/($A$3:$A$366&lt;=TODAY()-1),R$3:R$366),0))</f>
        <v/>
      </c>
      <c r="AB5" s="57">
        <f>MAX(R$3:R$366)</f>
        <v/>
      </c>
      <c r="AC5" s="57">
        <f>SUM(G$3:G$366)</f>
        <v/>
      </c>
      <c r="AD5" s="57">
        <f>IFERROR(INDEX(G$3:G$366,MATCH(TODAY(),$A$3:$A$366,0)),0)</f>
        <v/>
      </c>
      <c r="AE5" s="57">
        <f>IF(AB5&gt;=7,IF(AB5&gt;=30,IF(AB5&gt;=100,IF(AB5&gt;=365,"",365),100),30),7)</f>
        <v/>
      </c>
      <c r="AF5" s="57">
        <f>IF(AE5="","",MAX(0,AE5-AA5))</f>
        <v/>
      </c>
    </row>
    <row r="6">
      <c r="A6" s="58">
        <f>'Start Here'!$E$6+3</f>
        <v/>
      </c>
      <c r="B6" t="n">
        <v>1</v>
      </c>
      <c r="C6" t="inlineStr">
        <is>
          <t>THU</t>
        </is>
      </c>
      <c r="D6">
        <f>IF(AND(W01!F9&lt;&gt;"",W01!F9&lt;&gt;"✗"),1,0)</f>
        <v/>
      </c>
      <c r="E6">
        <f>IF(AND(W01!F10&lt;&gt;"",W01!F10&lt;&gt;"✗"),1,0)</f>
        <v/>
      </c>
      <c r="F6">
        <f>IF(AND(W01!F11&lt;&gt;"",W01!F11&lt;&gt;"✗"),1,0)</f>
        <v/>
      </c>
      <c r="G6">
        <f>IF(AND(W01!F12&lt;&gt;"",W01!F12&lt;&gt;"✗"),1,0)</f>
        <v/>
      </c>
      <c r="H6">
        <f>IF(AND(W01!F13&lt;&gt;"",W01!F13&lt;&gt;"✗"),1,0)</f>
        <v/>
      </c>
      <c r="I6">
        <f>IF(AND(W01!F14&lt;&gt;"",W01!F14&lt;&gt;"✗"),1,0)</f>
        <v/>
      </c>
      <c r="J6">
        <f>IF(AND(W01!F15&lt;&gt;"",W01!F15&lt;&gt;"✗"),1,0)</f>
        <v/>
      </c>
      <c r="K6">
        <f>IF(AND(W01!F16&lt;&gt;"",W01!F16&lt;&gt;"✗"),1,0)</f>
        <v/>
      </c>
      <c r="L6">
        <f>IF(AND(W01!F17&lt;&gt;"",W01!F17&lt;&gt;"✗"),1,0)</f>
        <v/>
      </c>
      <c r="M6">
        <f>IF(AND(W01!F18&lt;&gt;"",W01!F18&lt;&gt;"✗"),1,0)</f>
        <v/>
      </c>
      <c r="O6">
        <f>IF(D6=1,O5+1,0)</f>
        <v/>
      </c>
      <c r="P6">
        <f>IF(E6=1,P5+1,0)</f>
        <v/>
      </c>
      <c r="Q6">
        <f>IF(F6=1,Q5+1,0)</f>
        <v/>
      </c>
      <c r="R6">
        <f>IF(G6=1,R5+1,0)</f>
        <v/>
      </c>
      <c r="S6">
        <f>IF(H6=1,S5+1,0)</f>
        <v/>
      </c>
      <c r="T6">
        <f>IF(I6=1,T5+1,0)</f>
        <v/>
      </c>
      <c r="U6">
        <f>IF(J6=1,U5+1,0)</f>
        <v/>
      </c>
      <c r="V6">
        <f>IF(K6=1,V5+1,0)</f>
        <v/>
      </c>
      <c r="W6">
        <f>IF(L6=1,W5+1,0)</f>
        <v/>
      </c>
      <c r="X6">
        <f>IF(M6=1,X5+1,0)</f>
        <v/>
      </c>
      <c r="Z6" s="57">
        <f>IF('Start Here'!C15="","",'Start Here'!C15)</f>
        <v/>
      </c>
      <c r="AA6" s="57">
        <f>MAX(IFERROR(LOOKUP(2,1/($A$3:$A$366&lt;=TODAY()),S$3:S$366),0),IFERROR(LOOKUP(2,1/($A$3:$A$366&lt;=TODAY()-1),S$3:S$366),0))</f>
        <v/>
      </c>
      <c r="AB6" s="57">
        <f>MAX(S$3:S$366)</f>
        <v/>
      </c>
      <c r="AC6" s="57">
        <f>SUM(H$3:H$366)</f>
        <v/>
      </c>
      <c r="AD6" s="57">
        <f>IFERROR(INDEX(H$3:H$366,MATCH(TODAY(),$A$3:$A$366,0)),0)</f>
        <v/>
      </c>
      <c r="AE6" s="57">
        <f>IF(AB6&gt;=7,IF(AB6&gt;=30,IF(AB6&gt;=100,IF(AB6&gt;=365,"",365),100),30),7)</f>
        <v/>
      </c>
      <c r="AF6" s="57">
        <f>IF(AE6="","",MAX(0,AE6-AA6))</f>
        <v/>
      </c>
    </row>
    <row r="7">
      <c r="A7" s="58">
        <f>'Start Here'!$E$6+4</f>
        <v/>
      </c>
      <c r="B7" t="n">
        <v>1</v>
      </c>
      <c r="C7" t="inlineStr">
        <is>
          <t>FRI</t>
        </is>
      </c>
      <c r="D7">
        <f>IF(AND(W01!G9&lt;&gt;"",W01!G9&lt;&gt;"✗"),1,0)</f>
        <v/>
      </c>
      <c r="E7">
        <f>IF(AND(W01!G10&lt;&gt;"",W01!G10&lt;&gt;"✗"),1,0)</f>
        <v/>
      </c>
      <c r="F7">
        <f>IF(AND(W01!G11&lt;&gt;"",W01!G11&lt;&gt;"✗"),1,0)</f>
        <v/>
      </c>
      <c r="G7">
        <f>IF(AND(W01!G12&lt;&gt;"",W01!G12&lt;&gt;"✗"),1,0)</f>
        <v/>
      </c>
      <c r="H7">
        <f>IF(AND(W01!G13&lt;&gt;"",W01!G13&lt;&gt;"✗"),1,0)</f>
        <v/>
      </c>
      <c r="I7">
        <f>IF(AND(W01!G14&lt;&gt;"",W01!G14&lt;&gt;"✗"),1,0)</f>
        <v/>
      </c>
      <c r="J7">
        <f>IF(AND(W01!G15&lt;&gt;"",W01!G15&lt;&gt;"✗"),1,0)</f>
        <v/>
      </c>
      <c r="K7">
        <f>IF(AND(W01!G16&lt;&gt;"",W01!G16&lt;&gt;"✗"),1,0)</f>
        <v/>
      </c>
      <c r="L7">
        <f>IF(AND(W01!G17&lt;&gt;"",W01!G17&lt;&gt;"✗"),1,0)</f>
        <v/>
      </c>
      <c r="M7">
        <f>IF(AND(W01!G18&lt;&gt;"",W01!G18&lt;&gt;"✗"),1,0)</f>
        <v/>
      </c>
      <c r="O7">
        <f>IF(D7=1,O6+1,0)</f>
        <v/>
      </c>
      <c r="P7">
        <f>IF(E7=1,P6+1,0)</f>
        <v/>
      </c>
      <c r="Q7">
        <f>IF(F7=1,Q6+1,0)</f>
        <v/>
      </c>
      <c r="R7">
        <f>IF(G7=1,R6+1,0)</f>
        <v/>
      </c>
      <c r="S7">
        <f>IF(H7=1,S6+1,0)</f>
        <v/>
      </c>
      <c r="T7">
        <f>IF(I7=1,T6+1,0)</f>
        <v/>
      </c>
      <c r="U7">
        <f>IF(J7=1,U6+1,0)</f>
        <v/>
      </c>
      <c r="V7">
        <f>IF(K7=1,V6+1,0)</f>
        <v/>
      </c>
      <c r="W7">
        <f>IF(L7=1,W6+1,0)</f>
        <v/>
      </c>
      <c r="X7">
        <f>IF(M7=1,X6+1,0)</f>
        <v/>
      </c>
      <c r="Z7" s="57">
        <f>IF('Start Here'!C16="","",'Start Here'!C16)</f>
        <v/>
      </c>
      <c r="AA7" s="57">
        <f>MAX(IFERROR(LOOKUP(2,1/($A$3:$A$366&lt;=TODAY()),T$3:T$366),0),IFERROR(LOOKUP(2,1/($A$3:$A$366&lt;=TODAY()-1),T$3:T$366),0))</f>
        <v/>
      </c>
      <c r="AB7" s="57">
        <f>MAX(T$3:T$366)</f>
        <v/>
      </c>
      <c r="AC7" s="57">
        <f>SUM(I$3:I$366)</f>
        <v/>
      </c>
      <c r="AD7" s="57">
        <f>IFERROR(INDEX(I$3:I$366,MATCH(TODAY(),$A$3:$A$366,0)),0)</f>
        <v/>
      </c>
      <c r="AE7" s="57">
        <f>IF(AB7&gt;=7,IF(AB7&gt;=30,IF(AB7&gt;=100,IF(AB7&gt;=365,"",365),100),30),7)</f>
        <v/>
      </c>
      <c r="AF7" s="57">
        <f>IF(AE7="","",MAX(0,AE7-AA7))</f>
        <v/>
      </c>
    </row>
    <row r="8">
      <c r="A8" s="58">
        <f>'Start Here'!$E$6+5</f>
        <v/>
      </c>
      <c r="B8" t="n">
        <v>1</v>
      </c>
      <c r="C8" t="inlineStr">
        <is>
          <t>SAT</t>
        </is>
      </c>
      <c r="D8">
        <f>IF(AND(W01!H9&lt;&gt;"",W01!H9&lt;&gt;"✗"),1,0)</f>
        <v/>
      </c>
      <c r="E8">
        <f>IF(AND(W01!H10&lt;&gt;"",W01!H10&lt;&gt;"✗"),1,0)</f>
        <v/>
      </c>
      <c r="F8">
        <f>IF(AND(W01!H11&lt;&gt;"",W01!H11&lt;&gt;"✗"),1,0)</f>
        <v/>
      </c>
      <c r="G8">
        <f>IF(AND(W01!H12&lt;&gt;"",W01!H12&lt;&gt;"✗"),1,0)</f>
        <v/>
      </c>
      <c r="H8">
        <f>IF(AND(W01!H13&lt;&gt;"",W01!H13&lt;&gt;"✗"),1,0)</f>
        <v/>
      </c>
      <c r="I8">
        <f>IF(AND(W01!H14&lt;&gt;"",W01!H14&lt;&gt;"✗"),1,0)</f>
        <v/>
      </c>
      <c r="J8">
        <f>IF(AND(W01!H15&lt;&gt;"",W01!H15&lt;&gt;"✗"),1,0)</f>
        <v/>
      </c>
      <c r="K8">
        <f>IF(AND(W01!H16&lt;&gt;"",W01!H16&lt;&gt;"✗"),1,0)</f>
        <v/>
      </c>
      <c r="L8">
        <f>IF(AND(W01!H17&lt;&gt;"",W01!H17&lt;&gt;"✗"),1,0)</f>
        <v/>
      </c>
      <c r="M8">
        <f>IF(AND(W01!H18&lt;&gt;"",W01!H18&lt;&gt;"✗"),1,0)</f>
        <v/>
      </c>
      <c r="O8">
        <f>IF(D8=1,O7+1,0)</f>
        <v/>
      </c>
      <c r="P8">
        <f>IF(E8=1,P7+1,0)</f>
        <v/>
      </c>
      <c r="Q8">
        <f>IF(F8=1,Q7+1,0)</f>
        <v/>
      </c>
      <c r="R8">
        <f>IF(G8=1,R7+1,0)</f>
        <v/>
      </c>
      <c r="S8">
        <f>IF(H8=1,S7+1,0)</f>
        <v/>
      </c>
      <c r="T8">
        <f>IF(I8=1,T7+1,0)</f>
        <v/>
      </c>
      <c r="U8">
        <f>IF(J8=1,U7+1,0)</f>
        <v/>
      </c>
      <c r="V8">
        <f>IF(K8=1,V7+1,0)</f>
        <v/>
      </c>
      <c r="W8">
        <f>IF(L8=1,W7+1,0)</f>
        <v/>
      </c>
      <c r="X8">
        <f>IF(M8=1,X7+1,0)</f>
        <v/>
      </c>
      <c r="Z8" s="57">
        <f>IF('Start Here'!C17="","",'Start Here'!C17)</f>
        <v/>
      </c>
      <c r="AA8" s="57">
        <f>MAX(IFERROR(LOOKUP(2,1/($A$3:$A$366&lt;=TODAY()),U$3:U$366),0),IFERROR(LOOKUP(2,1/($A$3:$A$366&lt;=TODAY()-1),U$3:U$366),0))</f>
        <v/>
      </c>
      <c r="AB8" s="57">
        <f>MAX(U$3:U$366)</f>
        <v/>
      </c>
      <c r="AC8" s="57">
        <f>SUM(J$3:J$366)</f>
        <v/>
      </c>
      <c r="AD8" s="57">
        <f>IFERROR(INDEX(J$3:J$366,MATCH(TODAY(),$A$3:$A$366,0)),0)</f>
        <v/>
      </c>
      <c r="AE8" s="57">
        <f>IF(AB8&gt;=7,IF(AB8&gt;=30,IF(AB8&gt;=100,IF(AB8&gt;=365,"",365),100),30),7)</f>
        <v/>
      </c>
      <c r="AF8" s="57">
        <f>IF(AE8="","",MAX(0,AE8-AA8))</f>
        <v/>
      </c>
    </row>
    <row r="9">
      <c r="A9" s="58">
        <f>'Start Here'!$E$6+6</f>
        <v/>
      </c>
      <c r="B9" t="n">
        <v>1</v>
      </c>
      <c r="C9" t="inlineStr">
        <is>
          <t>SUN</t>
        </is>
      </c>
      <c r="D9">
        <f>IF(AND(W01!I9&lt;&gt;"",W01!I9&lt;&gt;"✗"),1,0)</f>
        <v/>
      </c>
      <c r="E9">
        <f>IF(AND(W01!I10&lt;&gt;"",W01!I10&lt;&gt;"✗"),1,0)</f>
        <v/>
      </c>
      <c r="F9">
        <f>IF(AND(W01!I11&lt;&gt;"",W01!I11&lt;&gt;"✗"),1,0)</f>
        <v/>
      </c>
      <c r="G9">
        <f>IF(AND(W01!I12&lt;&gt;"",W01!I12&lt;&gt;"✗"),1,0)</f>
        <v/>
      </c>
      <c r="H9">
        <f>IF(AND(W01!I13&lt;&gt;"",W01!I13&lt;&gt;"✗"),1,0)</f>
        <v/>
      </c>
      <c r="I9">
        <f>IF(AND(W01!I14&lt;&gt;"",W01!I14&lt;&gt;"✗"),1,0)</f>
        <v/>
      </c>
      <c r="J9">
        <f>IF(AND(W01!I15&lt;&gt;"",W01!I15&lt;&gt;"✗"),1,0)</f>
        <v/>
      </c>
      <c r="K9">
        <f>IF(AND(W01!I16&lt;&gt;"",W01!I16&lt;&gt;"✗"),1,0)</f>
        <v/>
      </c>
      <c r="L9">
        <f>IF(AND(W01!I17&lt;&gt;"",W01!I17&lt;&gt;"✗"),1,0)</f>
        <v/>
      </c>
      <c r="M9">
        <f>IF(AND(W01!I18&lt;&gt;"",W01!I18&lt;&gt;"✗"),1,0)</f>
        <v/>
      </c>
      <c r="O9">
        <f>IF(D9=1,O8+1,0)</f>
        <v/>
      </c>
      <c r="P9">
        <f>IF(E9=1,P8+1,0)</f>
        <v/>
      </c>
      <c r="Q9">
        <f>IF(F9=1,Q8+1,0)</f>
        <v/>
      </c>
      <c r="R9">
        <f>IF(G9=1,R8+1,0)</f>
        <v/>
      </c>
      <c r="S9">
        <f>IF(H9=1,S8+1,0)</f>
        <v/>
      </c>
      <c r="T9">
        <f>IF(I9=1,T8+1,0)</f>
        <v/>
      </c>
      <c r="U9">
        <f>IF(J9=1,U8+1,0)</f>
        <v/>
      </c>
      <c r="V9">
        <f>IF(K9=1,V8+1,0)</f>
        <v/>
      </c>
      <c r="W9">
        <f>IF(L9=1,W8+1,0)</f>
        <v/>
      </c>
      <c r="X9">
        <f>IF(M9=1,X8+1,0)</f>
        <v/>
      </c>
      <c r="Z9" s="57">
        <f>IF('Start Here'!C18="","",'Start Here'!C18)</f>
        <v/>
      </c>
      <c r="AA9" s="57">
        <f>MAX(IFERROR(LOOKUP(2,1/($A$3:$A$366&lt;=TODAY()),V$3:V$366),0),IFERROR(LOOKUP(2,1/($A$3:$A$366&lt;=TODAY()-1),V$3:V$366),0))</f>
        <v/>
      </c>
      <c r="AB9" s="57">
        <f>MAX(V$3:V$366)</f>
        <v/>
      </c>
      <c r="AC9" s="57">
        <f>SUM(K$3:K$366)</f>
        <v/>
      </c>
      <c r="AD9" s="57">
        <f>IFERROR(INDEX(K$3:K$366,MATCH(TODAY(),$A$3:$A$366,0)),0)</f>
        <v/>
      </c>
      <c r="AE9" s="57">
        <f>IF(AB9&gt;=7,IF(AB9&gt;=30,IF(AB9&gt;=100,IF(AB9&gt;=365,"",365),100),30),7)</f>
        <v/>
      </c>
      <c r="AF9" s="57">
        <f>IF(AE9="","",MAX(0,AE9-AA9))</f>
        <v/>
      </c>
    </row>
    <row r="10">
      <c r="A10" s="58">
        <f>'Start Here'!$E$6+7</f>
        <v/>
      </c>
      <c r="B10" t="n">
        <v>2</v>
      </c>
      <c r="C10" t="inlineStr">
        <is>
          <t>MON</t>
        </is>
      </c>
      <c r="D10">
        <f>IF(AND(W02!C9&lt;&gt;"",W02!C9&lt;&gt;"✗"),1,0)</f>
        <v/>
      </c>
      <c r="E10">
        <f>IF(AND(W02!C10&lt;&gt;"",W02!C10&lt;&gt;"✗"),1,0)</f>
        <v/>
      </c>
      <c r="F10">
        <f>IF(AND(W02!C11&lt;&gt;"",W02!C11&lt;&gt;"✗"),1,0)</f>
        <v/>
      </c>
      <c r="G10">
        <f>IF(AND(W02!C12&lt;&gt;"",W02!C12&lt;&gt;"✗"),1,0)</f>
        <v/>
      </c>
      <c r="H10">
        <f>IF(AND(W02!C13&lt;&gt;"",W02!C13&lt;&gt;"✗"),1,0)</f>
        <v/>
      </c>
      <c r="I10">
        <f>IF(AND(W02!C14&lt;&gt;"",W02!C14&lt;&gt;"✗"),1,0)</f>
        <v/>
      </c>
      <c r="J10">
        <f>IF(AND(W02!C15&lt;&gt;"",W02!C15&lt;&gt;"✗"),1,0)</f>
        <v/>
      </c>
      <c r="K10">
        <f>IF(AND(W02!C16&lt;&gt;"",W02!C16&lt;&gt;"✗"),1,0)</f>
        <v/>
      </c>
      <c r="L10">
        <f>IF(AND(W02!C17&lt;&gt;"",W02!C17&lt;&gt;"✗"),1,0)</f>
        <v/>
      </c>
      <c r="M10">
        <f>IF(AND(W02!C18&lt;&gt;"",W02!C18&lt;&gt;"✗"),1,0)</f>
        <v/>
      </c>
      <c r="O10">
        <f>IF(D10=1,O9+1,0)</f>
        <v/>
      </c>
      <c r="P10">
        <f>IF(E10=1,P9+1,0)</f>
        <v/>
      </c>
      <c r="Q10">
        <f>IF(F10=1,Q9+1,0)</f>
        <v/>
      </c>
      <c r="R10">
        <f>IF(G10=1,R9+1,0)</f>
        <v/>
      </c>
      <c r="S10">
        <f>IF(H10=1,S9+1,0)</f>
        <v/>
      </c>
      <c r="T10">
        <f>IF(I10=1,T9+1,0)</f>
        <v/>
      </c>
      <c r="U10">
        <f>IF(J10=1,U9+1,0)</f>
        <v/>
      </c>
      <c r="V10">
        <f>IF(K10=1,V9+1,0)</f>
        <v/>
      </c>
      <c r="W10">
        <f>IF(L10=1,W9+1,0)</f>
        <v/>
      </c>
      <c r="X10">
        <f>IF(M10=1,X9+1,0)</f>
        <v/>
      </c>
      <c r="Z10" s="57">
        <f>IF('Start Here'!C19="","",'Start Here'!C19)</f>
        <v/>
      </c>
      <c r="AA10" s="57">
        <f>MAX(IFERROR(LOOKUP(2,1/($A$3:$A$366&lt;=TODAY()),W$3:W$366),0),IFERROR(LOOKUP(2,1/($A$3:$A$366&lt;=TODAY()-1),W$3:W$366),0))</f>
        <v/>
      </c>
      <c r="AB10" s="57">
        <f>MAX(W$3:W$366)</f>
        <v/>
      </c>
      <c r="AC10" s="57">
        <f>SUM(L$3:L$366)</f>
        <v/>
      </c>
      <c r="AD10" s="57">
        <f>IFERROR(INDEX(L$3:L$366,MATCH(TODAY(),$A$3:$A$366,0)),0)</f>
        <v/>
      </c>
      <c r="AE10" s="57">
        <f>IF(AB10&gt;=7,IF(AB10&gt;=30,IF(AB10&gt;=100,IF(AB10&gt;=365,"",365),100),30),7)</f>
        <v/>
      </c>
      <c r="AF10" s="57">
        <f>IF(AE10="","",MAX(0,AE10-AA10))</f>
        <v/>
      </c>
    </row>
    <row r="11">
      <c r="A11" s="58">
        <f>'Start Here'!$E$6+8</f>
        <v/>
      </c>
      <c r="B11" t="n">
        <v>2</v>
      </c>
      <c r="C11" t="inlineStr">
        <is>
          <t>TUE</t>
        </is>
      </c>
      <c r="D11">
        <f>IF(AND(W02!D9&lt;&gt;"",W02!D9&lt;&gt;"✗"),1,0)</f>
        <v/>
      </c>
      <c r="E11">
        <f>IF(AND(W02!D10&lt;&gt;"",W02!D10&lt;&gt;"✗"),1,0)</f>
        <v/>
      </c>
      <c r="F11">
        <f>IF(AND(W02!D11&lt;&gt;"",W02!D11&lt;&gt;"✗"),1,0)</f>
        <v/>
      </c>
      <c r="G11">
        <f>IF(AND(W02!D12&lt;&gt;"",W02!D12&lt;&gt;"✗"),1,0)</f>
        <v/>
      </c>
      <c r="H11">
        <f>IF(AND(W02!D13&lt;&gt;"",W02!D13&lt;&gt;"✗"),1,0)</f>
        <v/>
      </c>
      <c r="I11">
        <f>IF(AND(W02!D14&lt;&gt;"",W02!D14&lt;&gt;"✗"),1,0)</f>
        <v/>
      </c>
      <c r="J11">
        <f>IF(AND(W02!D15&lt;&gt;"",W02!D15&lt;&gt;"✗"),1,0)</f>
        <v/>
      </c>
      <c r="K11">
        <f>IF(AND(W02!D16&lt;&gt;"",W02!D16&lt;&gt;"✗"),1,0)</f>
        <v/>
      </c>
      <c r="L11">
        <f>IF(AND(W02!D17&lt;&gt;"",W02!D17&lt;&gt;"✗"),1,0)</f>
        <v/>
      </c>
      <c r="M11">
        <f>IF(AND(W02!D18&lt;&gt;"",W02!D18&lt;&gt;"✗"),1,0)</f>
        <v/>
      </c>
      <c r="O11">
        <f>IF(D11=1,O10+1,0)</f>
        <v/>
      </c>
      <c r="P11">
        <f>IF(E11=1,P10+1,0)</f>
        <v/>
      </c>
      <c r="Q11">
        <f>IF(F11=1,Q10+1,0)</f>
        <v/>
      </c>
      <c r="R11">
        <f>IF(G11=1,R10+1,0)</f>
        <v/>
      </c>
      <c r="S11">
        <f>IF(H11=1,S10+1,0)</f>
        <v/>
      </c>
      <c r="T11">
        <f>IF(I11=1,T10+1,0)</f>
        <v/>
      </c>
      <c r="U11">
        <f>IF(J11=1,U10+1,0)</f>
        <v/>
      </c>
      <c r="V11">
        <f>IF(K11=1,V10+1,0)</f>
        <v/>
      </c>
      <c r="W11">
        <f>IF(L11=1,W10+1,0)</f>
        <v/>
      </c>
      <c r="X11">
        <f>IF(M11=1,X10+1,0)</f>
        <v/>
      </c>
      <c r="Z11" s="57">
        <f>IF('Start Here'!C20="","",'Start Here'!C20)</f>
        <v/>
      </c>
      <c r="AA11" s="57">
        <f>MAX(IFERROR(LOOKUP(2,1/($A$3:$A$366&lt;=TODAY()),X$3:X$366),0),IFERROR(LOOKUP(2,1/($A$3:$A$366&lt;=TODAY()-1),X$3:X$366),0))</f>
        <v/>
      </c>
      <c r="AB11" s="57">
        <f>MAX(X$3:X$366)</f>
        <v/>
      </c>
      <c r="AC11" s="57">
        <f>SUM(M$3:M$366)</f>
        <v/>
      </c>
      <c r="AD11" s="57">
        <f>IFERROR(INDEX(M$3:M$366,MATCH(TODAY(),$A$3:$A$366,0)),0)</f>
        <v/>
      </c>
      <c r="AE11" s="57">
        <f>IF(AB11&gt;=7,IF(AB11&gt;=30,IF(AB11&gt;=100,IF(AB11&gt;=365,"",365),100),30),7)</f>
        <v/>
      </c>
      <c r="AF11" s="57">
        <f>IF(AE11="","",MAX(0,AE11-AA11))</f>
        <v/>
      </c>
    </row>
    <row r="12">
      <c r="A12" s="58">
        <f>'Start Here'!$E$6+9</f>
        <v/>
      </c>
      <c r="B12" t="n">
        <v>2</v>
      </c>
      <c r="C12" t="inlineStr">
        <is>
          <t>WED</t>
        </is>
      </c>
      <c r="D12">
        <f>IF(AND(W02!E9&lt;&gt;"",W02!E9&lt;&gt;"✗"),1,0)</f>
        <v/>
      </c>
      <c r="E12">
        <f>IF(AND(W02!E10&lt;&gt;"",W02!E10&lt;&gt;"✗"),1,0)</f>
        <v/>
      </c>
      <c r="F12">
        <f>IF(AND(W02!E11&lt;&gt;"",W02!E11&lt;&gt;"✗"),1,0)</f>
        <v/>
      </c>
      <c r="G12">
        <f>IF(AND(W02!E12&lt;&gt;"",W02!E12&lt;&gt;"✗"),1,0)</f>
        <v/>
      </c>
      <c r="H12">
        <f>IF(AND(W02!E13&lt;&gt;"",W02!E13&lt;&gt;"✗"),1,0)</f>
        <v/>
      </c>
      <c r="I12">
        <f>IF(AND(W02!E14&lt;&gt;"",W02!E14&lt;&gt;"✗"),1,0)</f>
        <v/>
      </c>
      <c r="J12">
        <f>IF(AND(W02!E15&lt;&gt;"",W02!E15&lt;&gt;"✗"),1,0)</f>
        <v/>
      </c>
      <c r="K12">
        <f>IF(AND(W02!E16&lt;&gt;"",W02!E16&lt;&gt;"✗"),1,0)</f>
        <v/>
      </c>
      <c r="L12">
        <f>IF(AND(W02!E17&lt;&gt;"",W02!E17&lt;&gt;"✗"),1,0)</f>
        <v/>
      </c>
      <c r="M12">
        <f>IF(AND(W02!E18&lt;&gt;"",W02!E18&lt;&gt;"✗"),1,0)</f>
        <v/>
      </c>
      <c r="O12">
        <f>IF(D12=1,O11+1,0)</f>
        <v/>
      </c>
      <c r="P12">
        <f>IF(E12=1,P11+1,0)</f>
        <v/>
      </c>
      <c r="Q12">
        <f>IF(F12=1,Q11+1,0)</f>
        <v/>
      </c>
      <c r="R12">
        <f>IF(G12=1,R11+1,0)</f>
        <v/>
      </c>
      <c r="S12">
        <f>IF(H12=1,S11+1,0)</f>
        <v/>
      </c>
      <c r="T12">
        <f>IF(I12=1,T11+1,0)</f>
        <v/>
      </c>
      <c r="U12">
        <f>IF(J12=1,U11+1,0)</f>
        <v/>
      </c>
      <c r="V12">
        <f>IF(K12=1,V11+1,0)</f>
        <v/>
      </c>
      <c r="W12">
        <f>IF(L12=1,W11+1,0)</f>
        <v/>
      </c>
      <c r="X12">
        <f>IF(M12=1,X11+1,0)</f>
        <v/>
      </c>
    </row>
    <row r="13">
      <c r="A13" s="58">
        <f>'Start Here'!$E$6+10</f>
        <v/>
      </c>
      <c r="B13" t="n">
        <v>2</v>
      </c>
      <c r="C13" t="inlineStr">
        <is>
          <t>THU</t>
        </is>
      </c>
      <c r="D13">
        <f>IF(AND(W02!F9&lt;&gt;"",W02!F9&lt;&gt;"✗"),1,0)</f>
        <v/>
      </c>
      <c r="E13">
        <f>IF(AND(W02!F10&lt;&gt;"",W02!F10&lt;&gt;"✗"),1,0)</f>
        <v/>
      </c>
      <c r="F13">
        <f>IF(AND(W02!F11&lt;&gt;"",W02!F11&lt;&gt;"✗"),1,0)</f>
        <v/>
      </c>
      <c r="G13">
        <f>IF(AND(W02!F12&lt;&gt;"",W02!F12&lt;&gt;"✗"),1,0)</f>
        <v/>
      </c>
      <c r="H13">
        <f>IF(AND(W02!F13&lt;&gt;"",W02!F13&lt;&gt;"✗"),1,0)</f>
        <v/>
      </c>
      <c r="I13">
        <f>IF(AND(W02!F14&lt;&gt;"",W02!F14&lt;&gt;"✗"),1,0)</f>
        <v/>
      </c>
      <c r="J13">
        <f>IF(AND(W02!F15&lt;&gt;"",W02!F15&lt;&gt;"✗"),1,0)</f>
        <v/>
      </c>
      <c r="K13">
        <f>IF(AND(W02!F16&lt;&gt;"",W02!F16&lt;&gt;"✗"),1,0)</f>
        <v/>
      </c>
      <c r="L13">
        <f>IF(AND(W02!F17&lt;&gt;"",W02!F17&lt;&gt;"✗"),1,0)</f>
        <v/>
      </c>
      <c r="M13">
        <f>IF(AND(W02!F18&lt;&gt;"",W02!F18&lt;&gt;"✗"),1,0)</f>
        <v/>
      </c>
      <c r="O13">
        <f>IF(D13=1,O12+1,0)</f>
        <v/>
      </c>
      <c r="P13">
        <f>IF(E13=1,P12+1,0)</f>
        <v/>
      </c>
      <c r="Q13">
        <f>IF(F13=1,Q12+1,0)</f>
        <v/>
      </c>
      <c r="R13">
        <f>IF(G13=1,R12+1,0)</f>
        <v/>
      </c>
      <c r="S13">
        <f>IF(H13=1,S12+1,0)</f>
        <v/>
      </c>
      <c r="T13">
        <f>IF(I13=1,T12+1,0)</f>
        <v/>
      </c>
      <c r="U13">
        <f>IF(J13=1,U12+1,0)</f>
        <v/>
      </c>
      <c r="V13">
        <f>IF(K13=1,V12+1,0)</f>
        <v/>
      </c>
      <c r="W13">
        <f>IF(L13=1,W12+1,0)</f>
        <v/>
      </c>
      <c r="X13">
        <f>IF(M13=1,X12+1,0)</f>
        <v/>
      </c>
    </row>
    <row r="14">
      <c r="A14" s="58">
        <f>'Start Here'!$E$6+11</f>
        <v/>
      </c>
      <c r="B14" t="n">
        <v>2</v>
      </c>
      <c r="C14" t="inlineStr">
        <is>
          <t>FRI</t>
        </is>
      </c>
      <c r="D14">
        <f>IF(AND(W02!G9&lt;&gt;"",W02!G9&lt;&gt;"✗"),1,0)</f>
        <v/>
      </c>
      <c r="E14">
        <f>IF(AND(W02!G10&lt;&gt;"",W02!G10&lt;&gt;"✗"),1,0)</f>
        <v/>
      </c>
      <c r="F14">
        <f>IF(AND(W02!G11&lt;&gt;"",W02!G11&lt;&gt;"✗"),1,0)</f>
        <v/>
      </c>
      <c r="G14">
        <f>IF(AND(W02!G12&lt;&gt;"",W02!G12&lt;&gt;"✗"),1,0)</f>
        <v/>
      </c>
      <c r="H14">
        <f>IF(AND(W02!G13&lt;&gt;"",W02!G13&lt;&gt;"✗"),1,0)</f>
        <v/>
      </c>
      <c r="I14">
        <f>IF(AND(W02!G14&lt;&gt;"",W02!G14&lt;&gt;"✗"),1,0)</f>
        <v/>
      </c>
      <c r="J14">
        <f>IF(AND(W02!G15&lt;&gt;"",W02!G15&lt;&gt;"✗"),1,0)</f>
        <v/>
      </c>
      <c r="K14">
        <f>IF(AND(W02!G16&lt;&gt;"",W02!G16&lt;&gt;"✗"),1,0)</f>
        <v/>
      </c>
      <c r="L14">
        <f>IF(AND(W02!G17&lt;&gt;"",W02!G17&lt;&gt;"✗"),1,0)</f>
        <v/>
      </c>
      <c r="M14">
        <f>IF(AND(W02!G18&lt;&gt;"",W02!G18&lt;&gt;"✗"),1,0)</f>
        <v/>
      </c>
      <c r="O14">
        <f>IF(D14=1,O13+1,0)</f>
        <v/>
      </c>
      <c r="P14">
        <f>IF(E14=1,P13+1,0)</f>
        <v/>
      </c>
      <c r="Q14">
        <f>IF(F14=1,Q13+1,0)</f>
        <v/>
      </c>
      <c r="R14">
        <f>IF(G14=1,R13+1,0)</f>
        <v/>
      </c>
      <c r="S14">
        <f>IF(H14=1,S13+1,0)</f>
        <v/>
      </c>
      <c r="T14">
        <f>IF(I14=1,T13+1,0)</f>
        <v/>
      </c>
      <c r="U14">
        <f>IF(J14=1,U13+1,0)</f>
        <v/>
      </c>
      <c r="V14">
        <f>IF(K14=1,V13+1,0)</f>
        <v/>
      </c>
      <c r="W14">
        <f>IF(L14=1,W13+1,0)</f>
        <v/>
      </c>
      <c r="X14">
        <f>IF(M14=1,X13+1,0)</f>
        <v/>
      </c>
    </row>
    <row r="15">
      <c r="A15" s="58">
        <f>'Start Here'!$E$6+12</f>
        <v/>
      </c>
      <c r="B15" t="n">
        <v>2</v>
      </c>
      <c r="C15" t="inlineStr">
        <is>
          <t>SAT</t>
        </is>
      </c>
      <c r="D15">
        <f>IF(AND(W02!H9&lt;&gt;"",W02!H9&lt;&gt;"✗"),1,0)</f>
        <v/>
      </c>
      <c r="E15">
        <f>IF(AND(W02!H10&lt;&gt;"",W02!H10&lt;&gt;"✗"),1,0)</f>
        <v/>
      </c>
      <c r="F15">
        <f>IF(AND(W02!H11&lt;&gt;"",W02!H11&lt;&gt;"✗"),1,0)</f>
        <v/>
      </c>
      <c r="G15">
        <f>IF(AND(W02!H12&lt;&gt;"",W02!H12&lt;&gt;"✗"),1,0)</f>
        <v/>
      </c>
      <c r="H15">
        <f>IF(AND(W02!H13&lt;&gt;"",W02!H13&lt;&gt;"✗"),1,0)</f>
        <v/>
      </c>
      <c r="I15">
        <f>IF(AND(W02!H14&lt;&gt;"",W02!H14&lt;&gt;"✗"),1,0)</f>
        <v/>
      </c>
      <c r="J15">
        <f>IF(AND(W02!H15&lt;&gt;"",W02!H15&lt;&gt;"✗"),1,0)</f>
        <v/>
      </c>
      <c r="K15">
        <f>IF(AND(W02!H16&lt;&gt;"",W02!H16&lt;&gt;"✗"),1,0)</f>
        <v/>
      </c>
      <c r="L15">
        <f>IF(AND(W02!H17&lt;&gt;"",W02!H17&lt;&gt;"✗"),1,0)</f>
        <v/>
      </c>
      <c r="M15">
        <f>IF(AND(W02!H18&lt;&gt;"",W02!H18&lt;&gt;"✗"),1,0)</f>
        <v/>
      </c>
      <c r="O15">
        <f>IF(D15=1,O14+1,0)</f>
        <v/>
      </c>
      <c r="P15">
        <f>IF(E15=1,P14+1,0)</f>
        <v/>
      </c>
      <c r="Q15">
        <f>IF(F15=1,Q14+1,0)</f>
        <v/>
      </c>
      <c r="R15">
        <f>IF(G15=1,R14+1,0)</f>
        <v/>
      </c>
      <c r="S15">
        <f>IF(H15=1,S14+1,0)</f>
        <v/>
      </c>
      <c r="T15">
        <f>IF(I15=1,T14+1,0)</f>
        <v/>
      </c>
      <c r="U15">
        <f>IF(J15=1,U14+1,0)</f>
        <v/>
      </c>
      <c r="V15">
        <f>IF(K15=1,V14+1,0)</f>
        <v/>
      </c>
      <c r="W15">
        <f>IF(L15=1,W14+1,0)</f>
        <v/>
      </c>
      <c r="X15">
        <f>IF(M15=1,X14+1,0)</f>
        <v/>
      </c>
    </row>
    <row r="16">
      <c r="A16" s="58">
        <f>'Start Here'!$E$6+13</f>
        <v/>
      </c>
      <c r="B16" t="n">
        <v>2</v>
      </c>
      <c r="C16" t="inlineStr">
        <is>
          <t>SUN</t>
        </is>
      </c>
      <c r="D16">
        <f>IF(AND(W02!I9&lt;&gt;"",W02!I9&lt;&gt;"✗"),1,0)</f>
        <v/>
      </c>
      <c r="E16">
        <f>IF(AND(W02!I10&lt;&gt;"",W02!I10&lt;&gt;"✗"),1,0)</f>
        <v/>
      </c>
      <c r="F16">
        <f>IF(AND(W02!I11&lt;&gt;"",W02!I11&lt;&gt;"✗"),1,0)</f>
        <v/>
      </c>
      <c r="G16">
        <f>IF(AND(W02!I12&lt;&gt;"",W02!I12&lt;&gt;"✗"),1,0)</f>
        <v/>
      </c>
      <c r="H16">
        <f>IF(AND(W02!I13&lt;&gt;"",W02!I13&lt;&gt;"✗"),1,0)</f>
        <v/>
      </c>
      <c r="I16">
        <f>IF(AND(W02!I14&lt;&gt;"",W02!I14&lt;&gt;"✗"),1,0)</f>
        <v/>
      </c>
      <c r="J16">
        <f>IF(AND(W02!I15&lt;&gt;"",W02!I15&lt;&gt;"✗"),1,0)</f>
        <v/>
      </c>
      <c r="K16">
        <f>IF(AND(W02!I16&lt;&gt;"",W02!I16&lt;&gt;"✗"),1,0)</f>
        <v/>
      </c>
      <c r="L16">
        <f>IF(AND(W02!I17&lt;&gt;"",W02!I17&lt;&gt;"✗"),1,0)</f>
        <v/>
      </c>
      <c r="M16">
        <f>IF(AND(W02!I18&lt;&gt;"",W02!I18&lt;&gt;"✗"),1,0)</f>
        <v/>
      </c>
      <c r="O16">
        <f>IF(D16=1,O15+1,0)</f>
        <v/>
      </c>
      <c r="P16">
        <f>IF(E16=1,P15+1,0)</f>
        <v/>
      </c>
      <c r="Q16">
        <f>IF(F16=1,Q15+1,0)</f>
        <v/>
      </c>
      <c r="R16">
        <f>IF(G16=1,R15+1,0)</f>
        <v/>
      </c>
      <c r="S16">
        <f>IF(H16=1,S15+1,0)</f>
        <v/>
      </c>
      <c r="T16">
        <f>IF(I16=1,T15+1,0)</f>
        <v/>
      </c>
      <c r="U16">
        <f>IF(J16=1,U15+1,0)</f>
        <v/>
      </c>
      <c r="V16">
        <f>IF(K16=1,V15+1,0)</f>
        <v/>
      </c>
      <c r="W16">
        <f>IF(L16=1,W15+1,0)</f>
        <v/>
      </c>
      <c r="X16">
        <f>IF(M16=1,X15+1,0)</f>
        <v/>
      </c>
    </row>
    <row r="17">
      <c r="A17" s="58">
        <f>'Start Here'!$E$6+14</f>
        <v/>
      </c>
      <c r="B17" t="n">
        <v>3</v>
      </c>
      <c r="C17" t="inlineStr">
        <is>
          <t>MON</t>
        </is>
      </c>
      <c r="D17">
        <f>IF(AND(W03!C9&lt;&gt;"",W03!C9&lt;&gt;"✗"),1,0)</f>
        <v/>
      </c>
      <c r="E17">
        <f>IF(AND(W03!C10&lt;&gt;"",W03!C10&lt;&gt;"✗"),1,0)</f>
        <v/>
      </c>
      <c r="F17">
        <f>IF(AND(W03!C11&lt;&gt;"",W03!C11&lt;&gt;"✗"),1,0)</f>
        <v/>
      </c>
      <c r="G17">
        <f>IF(AND(W03!C12&lt;&gt;"",W03!C12&lt;&gt;"✗"),1,0)</f>
        <v/>
      </c>
      <c r="H17">
        <f>IF(AND(W03!C13&lt;&gt;"",W03!C13&lt;&gt;"✗"),1,0)</f>
        <v/>
      </c>
      <c r="I17">
        <f>IF(AND(W03!C14&lt;&gt;"",W03!C14&lt;&gt;"✗"),1,0)</f>
        <v/>
      </c>
      <c r="J17">
        <f>IF(AND(W03!C15&lt;&gt;"",W03!C15&lt;&gt;"✗"),1,0)</f>
        <v/>
      </c>
      <c r="K17">
        <f>IF(AND(W03!C16&lt;&gt;"",W03!C16&lt;&gt;"✗"),1,0)</f>
        <v/>
      </c>
      <c r="L17">
        <f>IF(AND(W03!C17&lt;&gt;"",W03!C17&lt;&gt;"✗"),1,0)</f>
        <v/>
      </c>
      <c r="M17">
        <f>IF(AND(W03!C18&lt;&gt;"",W03!C18&lt;&gt;"✗"),1,0)</f>
        <v/>
      </c>
      <c r="O17">
        <f>IF(D17=1,O16+1,0)</f>
        <v/>
      </c>
      <c r="P17">
        <f>IF(E17=1,P16+1,0)</f>
        <v/>
      </c>
      <c r="Q17">
        <f>IF(F17=1,Q16+1,0)</f>
        <v/>
      </c>
      <c r="R17">
        <f>IF(G17=1,R16+1,0)</f>
        <v/>
      </c>
      <c r="S17">
        <f>IF(H17=1,S16+1,0)</f>
        <v/>
      </c>
      <c r="T17">
        <f>IF(I17=1,T16+1,0)</f>
        <v/>
      </c>
      <c r="U17">
        <f>IF(J17=1,U16+1,0)</f>
        <v/>
      </c>
      <c r="V17">
        <f>IF(K17=1,V16+1,0)</f>
        <v/>
      </c>
      <c r="W17">
        <f>IF(L17=1,W16+1,0)</f>
        <v/>
      </c>
      <c r="X17">
        <f>IF(M17=1,X16+1,0)</f>
        <v/>
      </c>
    </row>
    <row r="18">
      <c r="A18" s="58">
        <f>'Start Here'!$E$6+15</f>
        <v/>
      </c>
      <c r="B18" t="n">
        <v>3</v>
      </c>
      <c r="C18" t="inlineStr">
        <is>
          <t>TUE</t>
        </is>
      </c>
      <c r="D18">
        <f>IF(AND(W03!D9&lt;&gt;"",W03!D9&lt;&gt;"✗"),1,0)</f>
        <v/>
      </c>
      <c r="E18">
        <f>IF(AND(W03!D10&lt;&gt;"",W03!D10&lt;&gt;"✗"),1,0)</f>
        <v/>
      </c>
      <c r="F18">
        <f>IF(AND(W03!D11&lt;&gt;"",W03!D11&lt;&gt;"✗"),1,0)</f>
        <v/>
      </c>
      <c r="G18">
        <f>IF(AND(W03!D12&lt;&gt;"",W03!D12&lt;&gt;"✗"),1,0)</f>
        <v/>
      </c>
      <c r="H18">
        <f>IF(AND(W03!D13&lt;&gt;"",W03!D13&lt;&gt;"✗"),1,0)</f>
        <v/>
      </c>
      <c r="I18">
        <f>IF(AND(W03!D14&lt;&gt;"",W03!D14&lt;&gt;"✗"),1,0)</f>
        <v/>
      </c>
      <c r="J18">
        <f>IF(AND(W03!D15&lt;&gt;"",W03!D15&lt;&gt;"✗"),1,0)</f>
        <v/>
      </c>
      <c r="K18">
        <f>IF(AND(W03!D16&lt;&gt;"",W03!D16&lt;&gt;"✗"),1,0)</f>
        <v/>
      </c>
      <c r="L18">
        <f>IF(AND(W03!D17&lt;&gt;"",W03!D17&lt;&gt;"✗"),1,0)</f>
        <v/>
      </c>
      <c r="M18">
        <f>IF(AND(W03!D18&lt;&gt;"",W03!D18&lt;&gt;"✗"),1,0)</f>
        <v/>
      </c>
      <c r="O18">
        <f>IF(D18=1,O17+1,0)</f>
        <v/>
      </c>
      <c r="P18">
        <f>IF(E18=1,P17+1,0)</f>
        <v/>
      </c>
      <c r="Q18">
        <f>IF(F18=1,Q17+1,0)</f>
        <v/>
      </c>
      <c r="R18">
        <f>IF(G18=1,R17+1,0)</f>
        <v/>
      </c>
      <c r="S18">
        <f>IF(H18=1,S17+1,0)</f>
        <v/>
      </c>
      <c r="T18">
        <f>IF(I18=1,T17+1,0)</f>
        <v/>
      </c>
      <c r="U18">
        <f>IF(J18=1,U17+1,0)</f>
        <v/>
      </c>
      <c r="V18">
        <f>IF(K18=1,V17+1,0)</f>
        <v/>
      </c>
      <c r="W18">
        <f>IF(L18=1,W17+1,0)</f>
        <v/>
      </c>
      <c r="X18">
        <f>IF(M18=1,X17+1,0)</f>
        <v/>
      </c>
    </row>
    <row r="19">
      <c r="A19" s="58">
        <f>'Start Here'!$E$6+16</f>
        <v/>
      </c>
      <c r="B19" t="n">
        <v>3</v>
      </c>
      <c r="C19" t="inlineStr">
        <is>
          <t>WED</t>
        </is>
      </c>
      <c r="D19">
        <f>IF(AND(W03!E9&lt;&gt;"",W03!E9&lt;&gt;"✗"),1,0)</f>
        <v/>
      </c>
      <c r="E19">
        <f>IF(AND(W03!E10&lt;&gt;"",W03!E10&lt;&gt;"✗"),1,0)</f>
        <v/>
      </c>
      <c r="F19">
        <f>IF(AND(W03!E11&lt;&gt;"",W03!E11&lt;&gt;"✗"),1,0)</f>
        <v/>
      </c>
      <c r="G19">
        <f>IF(AND(W03!E12&lt;&gt;"",W03!E12&lt;&gt;"✗"),1,0)</f>
        <v/>
      </c>
      <c r="H19">
        <f>IF(AND(W03!E13&lt;&gt;"",W03!E13&lt;&gt;"✗"),1,0)</f>
        <v/>
      </c>
      <c r="I19">
        <f>IF(AND(W03!E14&lt;&gt;"",W03!E14&lt;&gt;"✗"),1,0)</f>
        <v/>
      </c>
      <c r="J19">
        <f>IF(AND(W03!E15&lt;&gt;"",W03!E15&lt;&gt;"✗"),1,0)</f>
        <v/>
      </c>
      <c r="K19">
        <f>IF(AND(W03!E16&lt;&gt;"",W03!E16&lt;&gt;"✗"),1,0)</f>
        <v/>
      </c>
      <c r="L19">
        <f>IF(AND(W03!E17&lt;&gt;"",W03!E17&lt;&gt;"✗"),1,0)</f>
        <v/>
      </c>
      <c r="M19">
        <f>IF(AND(W03!E18&lt;&gt;"",W03!E18&lt;&gt;"✗"),1,0)</f>
        <v/>
      </c>
      <c r="O19">
        <f>IF(D19=1,O18+1,0)</f>
        <v/>
      </c>
      <c r="P19">
        <f>IF(E19=1,P18+1,0)</f>
        <v/>
      </c>
      <c r="Q19">
        <f>IF(F19=1,Q18+1,0)</f>
        <v/>
      </c>
      <c r="R19">
        <f>IF(G19=1,R18+1,0)</f>
        <v/>
      </c>
      <c r="S19">
        <f>IF(H19=1,S18+1,0)</f>
        <v/>
      </c>
      <c r="T19">
        <f>IF(I19=1,T18+1,0)</f>
        <v/>
      </c>
      <c r="U19">
        <f>IF(J19=1,U18+1,0)</f>
        <v/>
      </c>
      <c r="V19">
        <f>IF(K19=1,V18+1,0)</f>
        <v/>
      </c>
      <c r="W19">
        <f>IF(L19=1,W18+1,0)</f>
        <v/>
      </c>
      <c r="X19">
        <f>IF(M19=1,X18+1,0)</f>
        <v/>
      </c>
    </row>
    <row r="20">
      <c r="A20" s="58">
        <f>'Start Here'!$E$6+17</f>
        <v/>
      </c>
      <c r="B20" t="n">
        <v>3</v>
      </c>
      <c r="C20" t="inlineStr">
        <is>
          <t>THU</t>
        </is>
      </c>
      <c r="D20">
        <f>IF(AND(W03!F9&lt;&gt;"",W03!F9&lt;&gt;"✗"),1,0)</f>
        <v/>
      </c>
      <c r="E20">
        <f>IF(AND(W03!F10&lt;&gt;"",W03!F10&lt;&gt;"✗"),1,0)</f>
        <v/>
      </c>
      <c r="F20">
        <f>IF(AND(W03!F11&lt;&gt;"",W03!F11&lt;&gt;"✗"),1,0)</f>
        <v/>
      </c>
      <c r="G20">
        <f>IF(AND(W03!F12&lt;&gt;"",W03!F12&lt;&gt;"✗"),1,0)</f>
        <v/>
      </c>
      <c r="H20">
        <f>IF(AND(W03!F13&lt;&gt;"",W03!F13&lt;&gt;"✗"),1,0)</f>
        <v/>
      </c>
      <c r="I20">
        <f>IF(AND(W03!F14&lt;&gt;"",W03!F14&lt;&gt;"✗"),1,0)</f>
        <v/>
      </c>
      <c r="J20">
        <f>IF(AND(W03!F15&lt;&gt;"",W03!F15&lt;&gt;"✗"),1,0)</f>
        <v/>
      </c>
      <c r="K20">
        <f>IF(AND(W03!F16&lt;&gt;"",W03!F16&lt;&gt;"✗"),1,0)</f>
        <v/>
      </c>
      <c r="L20">
        <f>IF(AND(W03!F17&lt;&gt;"",W03!F17&lt;&gt;"✗"),1,0)</f>
        <v/>
      </c>
      <c r="M20">
        <f>IF(AND(W03!F18&lt;&gt;"",W03!F18&lt;&gt;"✗"),1,0)</f>
        <v/>
      </c>
      <c r="O20">
        <f>IF(D20=1,O19+1,0)</f>
        <v/>
      </c>
      <c r="P20">
        <f>IF(E20=1,P19+1,0)</f>
        <v/>
      </c>
      <c r="Q20">
        <f>IF(F20=1,Q19+1,0)</f>
        <v/>
      </c>
      <c r="R20">
        <f>IF(G20=1,R19+1,0)</f>
        <v/>
      </c>
      <c r="S20">
        <f>IF(H20=1,S19+1,0)</f>
        <v/>
      </c>
      <c r="T20">
        <f>IF(I20=1,T19+1,0)</f>
        <v/>
      </c>
      <c r="U20">
        <f>IF(J20=1,U19+1,0)</f>
        <v/>
      </c>
      <c r="V20">
        <f>IF(K20=1,V19+1,0)</f>
        <v/>
      </c>
      <c r="W20">
        <f>IF(L20=1,W19+1,0)</f>
        <v/>
      </c>
      <c r="X20">
        <f>IF(M20=1,X19+1,0)</f>
        <v/>
      </c>
    </row>
    <row r="21">
      <c r="A21" s="58">
        <f>'Start Here'!$E$6+18</f>
        <v/>
      </c>
      <c r="B21" t="n">
        <v>3</v>
      </c>
      <c r="C21" t="inlineStr">
        <is>
          <t>FRI</t>
        </is>
      </c>
      <c r="D21">
        <f>IF(AND(W03!G9&lt;&gt;"",W03!G9&lt;&gt;"✗"),1,0)</f>
        <v/>
      </c>
      <c r="E21">
        <f>IF(AND(W03!G10&lt;&gt;"",W03!G10&lt;&gt;"✗"),1,0)</f>
        <v/>
      </c>
      <c r="F21">
        <f>IF(AND(W03!G11&lt;&gt;"",W03!G11&lt;&gt;"✗"),1,0)</f>
        <v/>
      </c>
      <c r="G21">
        <f>IF(AND(W03!G12&lt;&gt;"",W03!G12&lt;&gt;"✗"),1,0)</f>
        <v/>
      </c>
      <c r="H21">
        <f>IF(AND(W03!G13&lt;&gt;"",W03!G13&lt;&gt;"✗"),1,0)</f>
        <v/>
      </c>
      <c r="I21">
        <f>IF(AND(W03!G14&lt;&gt;"",W03!G14&lt;&gt;"✗"),1,0)</f>
        <v/>
      </c>
      <c r="J21">
        <f>IF(AND(W03!G15&lt;&gt;"",W03!G15&lt;&gt;"✗"),1,0)</f>
        <v/>
      </c>
      <c r="K21">
        <f>IF(AND(W03!G16&lt;&gt;"",W03!G16&lt;&gt;"✗"),1,0)</f>
        <v/>
      </c>
      <c r="L21">
        <f>IF(AND(W03!G17&lt;&gt;"",W03!G17&lt;&gt;"✗"),1,0)</f>
        <v/>
      </c>
      <c r="M21">
        <f>IF(AND(W03!G18&lt;&gt;"",W03!G18&lt;&gt;"✗"),1,0)</f>
        <v/>
      </c>
      <c r="O21">
        <f>IF(D21=1,O20+1,0)</f>
        <v/>
      </c>
      <c r="P21">
        <f>IF(E21=1,P20+1,0)</f>
        <v/>
      </c>
      <c r="Q21">
        <f>IF(F21=1,Q20+1,0)</f>
        <v/>
      </c>
      <c r="R21">
        <f>IF(G21=1,R20+1,0)</f>
        <v/>
      </c>
      <c r="S21">
        <f>IF(H21=1,S20+1,0)</f>
        <v/>
      </c>
      <c r="T21">
        <f>IF(I21=1,T20+1,0)</f>
        <v/>
      </c>
      <c r="U21">
        <f>IF(J21=1,U20+1,0)</f>
        <v/>
      </c>
      <c r="V21">
        <f>IF(K21=1,V20+1,0)</f>
        <v/>
      </c>
      <c r="W21">
        <f>IF(L21=1,W20+1,0)</f>
        <v/>
      </c>
      <c r="X21">
        <f>IF(M21=1,X20+1,0)</f>
        <v/>
      </c>
    </row>
    <row r="22">
      <c r="A22" s="58">
        <f>'Start Here'!$E$6+19</f>
        <v/>
      </c>
      <c r="B22" t="n">
        <v>3</v>
      </c>
      <c r="C22" t="inlineStr">
        <is>
          <t>SAT</t>
        </is>
      </c>
      <c r="D22">
        <f>IF(AND(W03!H9&lt;&gt;"",W03!H9&lt;&gt;"✗"),1,0)</f>
        <v/>
      </c>
      <c r="E22">
        <f>IF(AND(W03!H10&lt;&gt;"",W03!H10&lt;&gt;"✗"),1,0)</f>
        <v/>
      </c>
      <c r="F22">
        <f>IF(AND(W03!H11&lt;&gt;"",W03!H11&lt;&gt;"✗"),1,0)</f>
        <v/>
      </c>
      <c r="G22">
        <f>IF(AND(W03!H12&lt;&gt;"",W03!H12&lt;&gt;"✗"),1,0)</f>
        <v/>
      </c>
      <c r="H22">
        <f>IF(AND(W03!H13&lt;&gt;"",W03!H13&lt;&gt;"✗"),1,0)</f>
        <v/>
      </c>
      <c r="I22">
        <f>IF(AND(W03!H14&lt;&gt;"",W03!H14&lt;&gt;"✗"),1,0)</f>
        <v/>
      </c>
      <c r="J22">
        <f>IF(AND(W03!H15&lt;&gt;"",W03!H15&lt;&gt;"✗"),1,0)</f>
        <v/>
      </c>
      <c r="K22">
        <f>IF(AND(W03!H16&lt;&gt;"",W03!H16&lt;&gt;"✗"),1,0)</f>
        <v/>
      </c>
      <c r="L22">
        <f>IF(AND(W03!H17&lt;&gt;"",W03!H17&lt;&gt;"✗"),1,0)</f>
        <v/>
      </c>
      <c r="M22">
        <f>IF(AND(W03!H18&lt;&gt;"",W03!H18&lt;&gt;"✗"),1,0)</f>
        <v/>
      </c>
      <c r="O22">
        <f>IF(D22=1,O21+1,0)</f>
        <v/>
      </c>
      <c r="P22">
        <f>IF(E22=1,P21+1,0)</f>
        <v/>
      </c>
      <c r="Q22">
        <f>IF(F22=1,Q21+1,0)</f>
        <v/>
      </c>
      <c r="R22">
        <f>IF(G22=1,R21+1,0)</f>
        <v/>
      </c>
      <c r="S22">
        <f>IF(H22=1,S21+1,0)</f>
        <v/>
      </c>
      <c r="T22">
        <f>IF(I22=1,T21+1,0)</f>
        <v/>
      </c>
      <c r="U22">
        <f>IF(J22=1,U21+1,0)</f>
        <v/>
      </c>
      <c r="V22">
        <f>IF(K22=1,V21+1,0)</f>
        <v/>
      </c>
      <c r="W22">
        <f>IF(L22=1,W21+1,0)</f>
        <v/>
      </c>
      <c r="X22">
        <f>IF(M22=1,X21+1,0)</f>
        <v/>
      </c>
    </row>
    <row r="23">
      <c r="A23" s="58">
        <f>'Start Here'!$E$6+20</f>
        <v/>
      </c>
      <c r="B23" t="n">
        <v>3</v>
      </c>
      <c r="C23" t="inlineStr">
        <is>
          <t>SUN</t>
        </is>
      </c>
      <c r="D23">
        <f>IF(AND(W03!I9&lt;&gt;"",W03!I9&lt;&gt;"✗"),1,0)</f>
        <v/>
      </c>
      <c r="E23">
        <f>IF(AND(W03!I10&lt;&gt;"",W03!I10&lt;&gt;"✗"),1,0)</f>
        <v/>
      </c>
      <c r="F23">
        <f>IF(AND(W03!I11&lt;&gt;"",W03!I11&lt;&gt;"✗"),1,0)</f>
        <v/>
      </c>
      <c r="G23">
        <f>IF(AND(W03!I12&lt;&gt;"",W03!I12&lt;&gt;"✗"),1,0)</f>
        <v/>
      </c>
      <c r="H23">
        <f>IF(AND(W03!I13&lt;&gt;"",W03!I13&lt;&gt;"✗"),1,0)</f>
        <v/>
      </c>
      <c r="I23">
        <f>IF(AND(W03!I14&lt;&gt;"",W03!I14&lt;&gt;"✗"),1,0)</f>
        <v/>
      </c>
      <c r="J23">
        <f>IF(AND(W03!I15&lt;&gt;"",W03!I15&lt;&gt;"✗"),1,0)</f>
        <v/>
      </c>
      <c r="K23">
        <f>IF(AND(W03!I16&lt;&gt;"",W03!I16&lt;&gt;"✗"),1,0)</f>
        <v/>
      </c>
      <c r="L23">
        <f>IF(AND(W03!I17&lt;&gt;"",W03!I17&lt;&gt;"✗"),1,0)</f>
        <v/>
      </c>
      <c r="M23">
        <f>IF(AND(W03!I18&lt;&gt;"",W03!I18&lt;&gt;"✗"),1,0)</f>
        <v/>
      </c>
      <c r="O23">
        <f>IF(D23=1,O22+1,0)</f>
        <v/>
      </c>
      <c r="P23">
        <f>IF(E23=1,P22+1,0)</f>
        <v/>
      </c>
      <c r="Q23">
        <f>IF(F23=1,Q22+1,0)</f>
        <v/>
      </c>
      <c r="R23">
        <f>IF(G23=1,R22+1,0)</f>
        <v/>
      </c>
      <c r="S23">
        <f>IF(H23=1,S22+1,0)</f>
        <v/>
      </c>
      <c r="T23">
        <f>IF(I23=1,T22+1,0)</f>
        <v/>
      </c>
      <c r="U23">
        <f>IF(J23=1,U22+1,0)</f>
        <v/>
      </c>
      <c r="V23">
        <f>IF(K23=1,V22+1,0)</f>
        <v/>
      </c>
      <c r="W23">
        <f>IF(L23=1,W22+1,0)</f>
        <v/>
      </c>
      <c r="X23">
        <f>IF(M23=1,X22+1,0)</f>
        <v/>
      </c>
    </row>
    <row r="24">
      <c r="A24" s="58">
        <f>'Start Here'!$E$6+21</f>
        <v/>
      </c>
      <c r="B24" t="n">
        <v>4</v>
      </c>
      <c r="C24" t="inlineStr">
        <is>
          <t>MON</t>
        </is>
      </c>
      <c r="D24">
        <f>IF(AND(W04!C9&lt;&gt;"",W04!C9&lt;&gt;"✗"),1,0)</f>
        <v/>
      </c>
      <c r="E24">
        <f>IF(AND(W04!C10&lt;&gt;"",W04!C10&lt;&gt;"✗"),1,0)</f>
        <v/>
      </c>
      <c r="F24">
        <f>IF(AND(W04!C11&lt;&gt;"",W04!C11&lt;&gt;"✗"),1,0)</f>
        <v/>
      </c>
      <c r="G24">
        <f>IF(AND(W04!C12&lt;&gt;"",W04!C12&lt;&gt;"✗"),1,0)</f>
        <v/>
      </c>
      <c r="H24">
        <f>IF(AND(W04!C13&lt;&gt;"",W04!C13&lt;&gt;"✗"),1,0)</f>
        <v/>
      </c>
      <c r="I24">
        <f>IF(AND(W04!C14&lt;&gt;"",W04!C14&lt;&gt;"✗"),1,0)</f>
        <v/>
      </c>
      <c r="J24">
        <f>IF(AND(W04!C15&lt;&gt;"",W04!C15&lt;&gt;"✗"),1,0)</f>
        <v/>
      </c>
      <c r="K24">
        <f>IF(AND(W04!C16&lt;&gt;"",W04!C16&lt;&gt;"✗"),1,0)</f>
        <v/>
      </c>
      <c r="L24">
        <f>IF(AND(W04!C17&lt;&gt;"",W04!C17&lt;&gt;"✗"),1,0)</f>
        <v/>
      </c>
      <c r="M24">
        <f>IF(AND(W04!C18&lt;&gt;"",W04!C18&lt;&gt;"✗"),1,0)</f>
        <v/>
      </c>
      <c r="O24">
        <f>IF(D24=1,O23+1,0)</f>
        <v/>
      </c>
      <c r="P24">
        <f>IF(E24=1,P23+1,0)</f>
        <v/>
      </c>
      <c r="Q24">
        <f>IF(F24=1,Q23+1,0)</f>
        <v/>
      </c>
      <c r="R24">
        <f>IF(G24=1,R23+1,0)</f>
        <v/>
      </c>
      <c r="S24">
        <f>IF(H24=1,S23+1,0)</f>
        <v/>
      </c>
      <c r="T24">
        <f>IF(I24=1,T23+1,0)</f>
        <v/>
      </c>
      <c r="U24">
        <f>IF(J24=1,U23+1,0)</f>
        <v/>
      </c>
      <c r="V24">
        <f>IF(K24=1,V23+1,0)</f>
        <v/>
      </c>
      <c r="W24">
        <f>IF(L24=1,W23+1,0)</f>
        <v/>
      </c>
      <c r="X24">
        <f>IF(M24=1,X23+1,0)</f>
        <v/>
      </c>
    </row>
    <row r="25">
      <c r="A25" s="58">
        <f>'Start Here'!$E$6+22</f>
        <v/>
      </c>
      <c r="B25" t="n">
        <v>4</v>
      </c>
      <c r="C25" t="inlineStr">
        <is>
          <t>TUE</t>
        </is>
      </c>
      <c r="D25">
        <f>IF(AND(W04!D9&lt;&gt;"",W04!D9&lt;&gt;"✗"),1,0)</f>
        <v/>
      </c>
      <c r="E25">
        <f>IF(AND(W04!D10&lt;&gt;"",W04!D10&lt;&gt;"✗"),1,0)</f>
        <v/>
      </c>
      <c r="F25">
        <f>IF(AND(W04!D11&lt;&gt;"",W04!D11&lt;&gt;"✗"),1,0)</f>
        <v/>
      </c>
      <c r="G25">
        <f>IF(AND(W04!D12&lt;&gt;"",W04!D12&lt;&gt;"✗"),1,0)</f>
        <v/>
      </c>
      <c r="H25">
        <f>IF(AND(W04!D13&lt;&gt;"",W04!D13&lt;&gt;"✗"),1,0)</f>
        <v/>
      </c>
      <c r="I25">
        <f>IF(AND(W04!D14&lt;&gt;"",W04!D14&lt;&gt;"✗"),1,0)</f>
        <v/>
      </c>
      <c r="J25">
        <f>IF(AND(W04!D15&lt;&gt;"",W04!D15&lt;&gt;"✗"),1,0)</f>
        <v/>
      </c>
      <c r="K25">
        <f>IF(AND(W04!D16&lt;&gt;"",W04!D16&lt;&gt;"✗"),1,0)</f>
        <v/>
      </c>
      <c r="L25">
        <f>IF(AND(W04!D17&lt;&gt;"",W04!D17&lt;&gt;"✗"),1,0)</f>
        <v/>
      </c>
      <c r="M25">
        <f>IF(AND(W04!D18&lt;&gt;"",W04!D18&lt;&gt;"✗"),1,0)</f>
        <v/>
      </c>
      <c r="O25">
        <f>IF(D25=1,O24+1,0)</f>
        <v/>
      </c>
      <c r="P25">
        <f>IF(E25=1,P24+1,0)</f>
        <v/>
      </c>
      <c r="Q25">
        <f>IF(F25=1,Q24+1,0)</f>
        <v/>
      </c>
      <c r="R25">
        <f>IF(G25=1,R24+1,0)</f>
        <v/>
      </c>
      <c r="S25">
        <f>IF(H25=1,S24+1,0)</f>
        <v/>
      </c>
      <c r="T25">
        <f>IF(I25=1,T24+1,0)</f>
        <v/>
      </c>
      <c r="U25">
        <f>IF(J25=1,U24+1,0)</f>
        <v/>
      </c>
      <c r="V25">
        <f>IF(K25=1,V24+1,0)</f>
        <v/>
      </c>
      <c r="W25">
        <f>IF(L25=1,W24+1,0)</f>
        <v/>
      </c>
      <c r="X25">
        <f>IF(M25=1,X24+1,0)</f>
        <v/>
      </c>
    </row>
    <row r="26">
      <c r="A26" s="58">
        <f>'Start Here'!$E$6+23</f>
        <v/>
      </c>
      <c r="B26" t="n">
        <v>4</v>
      </c>
      <c r="C26" t="inlineStr">
        <is>
          <t>WED</t>
        </is>
      </c>
      <c r="D26">
        <f>IF(AND(W04!E9&lt;&gt;"",W04!E9&lt;&gt;"✗"),1,0)</f>
        <v/>
      </c>
      <c r="E26">
        <f>IF(AND(W04!E10&lt;&gt;"",W04!E10&lt;&gt;"✗"),1,0)</f>
        <v/>
      </c>
      <c r="F26">
        <f>IF(AND(W04!E11&lt;&gt;"",W04!E11&lt;&gt;"✗"),1,0)</f>
        <v/>
      </c>
      <c r="G26">
        <f>IF(AND(W04!E12&lt;&gt;"",W04!E12&lt;&gt;"✗"),1,0)</f>
        <v/>
      </c>
      <c r="H26">
        <f>IF(AND(W04!E13&lt;&gt;"",W04!E13&lt;&gt;"✗"),1,0)</f>
        <v/>
      </c>
      <c r="I26">
        <f>IF(AND(W04!E14&lt;&gt;"",W04!E14&lt;&gt;"✗"),1,0)</f>
        <v/>
      </c>
      <c r="J26">
        <f>IF(AND(W04!E15&lt;&gt;"",W04!E15&lt;&gt;"✗"),1,0)</f>
        <v/>
      </c>
      <c r="K26">
        <f>IF(AND(W04!E16&lt;&gt;"",W04!E16&lt;&gt;"✗"),1,0)</f>
        <v/>
      </c>
      <c r="L26">
        <f>IF(AND(W04!E17&lt;&gt;"",W04!E17&lt;&gt;"✗"),1,0)</f>
        <v/>
      </c>
      <c r="M26">
        <f>IF(AND(W04!E18&lt;&gt;"",W04!E18&lt;&gt;"✗"),1,0)</f>
        <v/>
      </c>
      <c r="O26">
        <f>IF(D26=1,O25+1,0)</f>
        <v/>
      </c>
      <c r="P26">
        <f>IF(E26=1,P25+1,0)</f>
        <v/>
      </c>
      <c r="Q26">
        <f>IF(F26=1,Q25+1,0)</f>
        <v/>
      </c>
      <c r="R26">
        <f>IF(G26=1,R25+1,0)</f>
        <v/>
      </c>
      <c r="S26">
        <f>IF(H26=1,S25+1,0)</f>
        <v/>
      </c>
      <c r="T26">
        <f>IF(I26=1,T25+1,0)</f>
        <v/>
      </c>
      <c r="U26">
        <f>IF(J26=1,U25+1,0)</f>
        <v/>
      </c>
      <c r="V26">
        <f>IF(K26=1,V25+1,0)</f>
        <v/>
      </c>
      <c r="W26">
        <f>IF(L26=1,W25+1,0)</f>
        <v/>
      </c>
      <c r="X26">
        <f>IF(M26=1,X25+1,0)</f>
        <v/>
      </c>
    </row>
    <row r="27">
      <c r="A27" s="58">
        <f>'Start Here'!$E$6+24</f>
        <v/>
      </c>
      <c r="B27" t="n">
        <v>4</v>
      </c>
      <c r="C27" t="inlineStr">
        <is>
          <t>THU</t>
        </is>
      </c>
      <c r="D27">
        <f>IF(AND(W04!F9&lt;&gt;"",W04!F9&lt;&gt;"✗"),1,0)</f>
        <v/>
      </c>
      <c r="E27">
        <f>IF(AND(W04!F10&lt;&gt;"",W04!F10&lt;&gt;"✗"),1,0)</f>
        <v/>
      </c>
      <c r="F27">
        <f>IF(AND(W04!F11&lt;&gt;"",W04!F11&lt;&gt;"✗"),1,0)</f>
        <v/>
      </c>
      <c r="G27">
        <f>IF(AND(W04!F12&lt;&gt;"",W04!F12&lt;&gt;"✗"),1,0)</f>
        <v/>
      </c>
      <c r="H27">
        <f>IF(AND(W04!F13&lt;&gt;"",W04!F13&lt;&gt;"✗"),1,0)</f>
        <v/>
      </c>
      <c r="I27">
        <f>IF(AND(W04!F14&lt;&gt;"",W04!F14&lt;&gt;"✗"),1,0)</f>
        <v/>
      </c>
      <c r="J27">
        <f>IF(AND(W04!F15&lt;&gt;"",W04!F15&lt;&gt;"✗"),1,0)</f>
        <v/>
      </c>
      <c r="K27">
        <f>IF(AND(W04!F16&lt;&gt;"",W04!F16&lt;&gt;"✗"),1,0)</f>
        <v/>
      </c>
      <c r="L27">
        <f>IF(AND(W04!F17&lt;&gt;"",W04!F17&lt;&gt;"✗"),1,0)</f>
        <v/>
      </c>
      <c r="M27">
        <f>IF(AND(W04!F18&lt;&gt;"",W04!F18&lt;&gt;"✗"),1,0)</f>
        <v/>
      </c>
      <c r="O27">
        <f>IF(D27=1,O26+1,0)</f>
        <v/>
      </c>
      <c r="P27">
        <f>IF(E27=1,P26+1,0)</f>
        <v/>
      </c>
      <c r="Q27">
        <f>IF(F27=1,Q26+1,0)</f>
        <v/>
      </c>
      <c r="R27">
        <f>IF(G27=1,R26+1,0)</f>
        <v/>
      </c>
      <c r="S27">
        <f>IF(H27=1,S26+1,0)</f>
        <v/>
      </c>
      <c r="T27">
        <f>IF(I27=1,T26+1,0)</f>
        <v/>
      </c>
      <c r="U27">
        <f>IF(J27=1,U26+1,0)</f>
        <v/>
      </c>
      <c r="V27">
        <f>IF(K27=1,V26+1,0)</f>
        <v/>
      </c>
      <c r="W27">
        <f>IF(L27=1,W26+1,0)</f>
        <v/>
      </c>
      <c r="X27">
        <f>IF(M27=1,X26+1,0)</f>
        <v/>
      </c>
    </row>
    <row r="28">
      <c r="A28" s="58">
        <f>'Start Here'!$E$6+25</f>
        <v/>
      </c>
      <c r="B28" t="n">
        <v>4</v>
      </c>
      <c r="C28" t="inlineStr">
        <is>
          <t>FRI</t>
        </is>
      </c>
      <c r="D28">
        <f>IF(AND(W04!G9&lt;&gt;"",W04!G9&lt;&gt;"✗"),1,0)</f>
        <v/>
      </c>
      <c r="E28">
        <f>IF(AND(W04!G10&lt;&gt;"",W04!G10&lt;&gt;"✗"),1,0)</f>
        <v/>
      </c>
      <c r="F28">
        <f>IF(AND(W04!G11&lt;&gt;"",W04!G11&lt;&gt;"✗"),1,0)</f>
        <v/>
      </c>
      <c r="G28">
        <f>IF(AND(W04!G12&lt;&gt;"",W04!G12&lt;&gt;"✗"),1,0)</f>
        <v/>
      </c>
      <c r="H28">
        <f>IF(AND(W04!G13&lt;&gt;"",W04!G13&lt;&gt;"✗"),1,0)</f>
        <v/>
      </c>
      <c r="I28">
        <f>IF(AND(W04!G14&lt;&gt;"",W04!G14&lt;&gt;"✗"),1,0)</f>
        <v/>
      </c>
      <c r="J28">
        <f>IF(AND(W04!G15&lt;&gt;"",W04!G15&lt;&gt;"✗"),1,0)</f>
        <v/>
      </c>
      <c r="K28">
        <f>IF(AND(W04!G16&lt;&gt;"",W04!G16&lt;&gt;"✗"),1,0)</f>
        <v/>
      </c>
      <c r="L28">
        <f>IF(AND(W04!G17&lt;&gt;"",W04!G17&lt;&gt;"✗"),1,0)</f>
        <v/>
      </c>
      <c r="M28">
        <f>IF(AND(W04!G18&lt;&gt;"",W04!G18&lt;&gt;"✗"),1,0)</f>
        <v/>
      </c>
      <c r="O28">
        <f>IF(D28=1,O27+1,0)</f>
        <v/>
      </c>
      <c r="P28">
        <f>IF(E28=1,P27+1,0)</f>
        <v/>
      </c>
      <c r="Q28">
        <f>IF(F28=1,Q27+1,0)</f>
        <v/>
      </c>
      <c r="R28">
        <f>IF(G28=1,R27+1,0)</f>
        <v/>
      </c>
      <c r="S28">
        <f>IF(H28=1,S27+1,0)</f>
        <v/>
      </c>
      <c r="T28">
        <f>IF(I28=1,T27+1,0)</f>
        <v/>
      </c>
      <c r="U28">
        <f>IF(J28=1,U27+1,0)</f>
        <v/>
      </c>
      <c r="V28">
        <f>IF(K28=1,V27+1,0)</f>
        <v/>
      </c>
      <c r="W28">
        <f>IF(L28=1,W27+1,0)</f>
        <v/>
      </c>
      <c r="X28">
        <f>IF(M28=1,X27+1,0)</f>
        <v/>
      </c>
    </row>
    <row r="29">
      <c r="A29" s="58">
        <f>'Start Here'!$E$6+26</f>
        <v/>
      </c>
      <c r="B29" t="n">
        <v>4</v>
      </c>
      <c r="C29" t="inlineStr">
        <is>
          <t>SAT</t>
        </is>
      </c>
      <c r="D29">
        <f>IF(AND(W04!H9&lt;&gt;"",W04!H9&lt;&gt;"✗"),1,0)</f>
        <v/>
      </c>
      <c r="E29">
        <f>IF(AND(W04!H10&lt;&gt;"",W04!H10&lt;&gt;"✗"),1,0)</f>
        <v/>
      </c>
      <c r="F29">
        <f>IF(AND(W04!H11&lt;&gt;"",W04!H11&lt;&gt;"✗"),1,0)</f>
        <v/>
      </c>
      <c r="G29">
        <f>IF(AND(W04!H12&lt;&gt;"",W04!H12&lt;&gt;"✗"),1,0)</f>
        <v/>
      </c>
      <c r="H29">
        <f>IF(AND(W04!H13&lt;&gt;"",W04!H13&lt;&gt;"✗"),1,0)</f>
        <v/>
      </c>
      <c r="I29">
        <f>IF(AND(W04!H14&lt;&gt;"",W04!H14&lt;&gt;"✗"),1,0)</f>
        <v/>
      </c>
      <c r="J29">
        <f>IF(AND(W04!H15&lt;&gt;"",W04!H15&lt;&gt;"✗"),1,0)</f>
        <v/>
      </c>
      <c r="K29">
        <f>IF(AND(W04!H16&lt;&gt;"",W04!H16&lt;&gt;"✗"),1,0)</f>
        <v/>
      </c>
      <c r="L29">
        <f>IF(AND(W04!H17&lt;&gt;"",W04!H17&lt;&gt;"✗"),1,0)</f>
        <v/>
      </c>
      <c r="M29">
        <f>IF(AND(W04!H18&lt;&gt;"",W04!H18&lt;&gt;"✗"),1,0)</f>
        <v/>
      </c>
      <c r="O29">
        <f>IF(D29=1,O28+1,0)</f>
        <v/>
      </c>
      <c r="P29">
        <f>IF(E29=1,P28+1,0)</f>
        <v/>
      </c>
      <c r="Q29">
        <f>IF(F29=1,Q28+1,0)</f>
        <v/>
      </c>
      <c r="R29">
        <f>IF(G29=1,R28+1,0)</f>
        <v/>
      </c>
      <c r="S29">
        <f>IF(H29=1,S28+1,0)</f>
        <v/>
      </c>
      <c r="T29">
        <f>IF(I29=1,T28+1,0)</f>
        <v/>
      </c>
      <c r="U29">
        <f>IF(J29=1,U28+1,0)</f>
        <v/>
      </c>
      <c r="V29">
        <f>IF(K29=1,V28+1,0)</f>
        <v/>
      </c>
      <c r="W29">
        <f>IF(L29=1,W28+1,0)</f>
        <v/>
      </c>
      <c r="X29">
        <f>IF(M29=1,X28+1,0)</f>
        <v/>
      </c>
    </row>
    <row r="30">
      <c r="A30" s="58">
        <f>'Start Here'!$E$6+27</f>
        <v/>
      </c>
      <c r="B30" t="n">
        <v>4</v>
      </c>
      <c r="C30" t="inlineStr">
        <is>
          <t>SUN</t>
        </is>
      </c>
      <c r="D30">
        <f>IF(AND(W04!I9&lt;&gt;"",W04!I9&lt;&gt;"✗"),1,0)</f>
        <v/>
      </c>
      <c r="E30">
        <f>IF(AND(W04!I10&lt;&gt;"",W04!I10&lt;&gt;"✗"),1,0)</f>
        <v/>
      </c>
      <c r="F30">
        <f>IF(AND(W04!I11&lt;&gt;"",W04!I11&lt;&gt;"✗"),1,0)</f>
        <v/>
      </c>
      <c r="G30">
        <f>IF(AND(W04!I12&lt;&gt;"",W04!I12&lt;&gt;"✗"),1,0)</f>
        <v/>
      </c>
      <c r="H30">
        <f>IF(AND(W04!I13&lt;&gt;"",W04!I13&lt;&gt;"✗"),1,0)</f>
        <v/>
      </c>
      <c r="I30">
        <f>IF(AND(W04!I14&lt;&gt;"",W04!I14&lt;&gt;"✗"),1,0)</f>
        <v/>
      </c>
      <c r="J30">
        <f>IF(AND(W04!I15&lt;&gt;"",W04!I15&lt;&gt;"✗"),1,0)</f>
        <v/>
      </c>
      <c r="K30">
        <f>IF(AND(W04!I16&lt;&gt;"",W04!I16&lt;&gt;"✗"),1,0)</f>
        <v/>
      </c>
      <c r="L30">
        <f>IF(AND(W04!I17&lt;&gt;"",W04!I17&lt;&gt;"✗"),1,0)</f>
        <v/>
      </c>
      <c r="M30">
        <f>IF(AND(W04!I18&lt;&gt;"",W04!I18&lt;&gt;"✗"),1,0)</f>
        <v/>
      </c>
      <c r="O30">
        <f>IF(D30=1,O29+1,0)</f>
        <v/>
      </c>
      <c r="P30">
        <f>IF(E30=1,P29+1,0)</f>
        <v/>
      </c>
      <c r="Q30">
        <f>IF(F30=1,Q29+1,0)</f>
        <v/>
      </c>
      <c r="R30">
        <f>IF(G30=1,R29+1,0)</f>
        <v/>
      </c>
      <c r="S30">
        <f>IF(H30=1,S29+1,0)</f>
        <v/>
      </c>
      <c r="T30">
        <f>IF(I30=1,T29+1,0)</f>
        <v/>
      </c>
      <c r="U30">
        <f>IF(J30=1,U29+1,0)</f>
        <v/>
      </c>
      <c r="V30">
        <f>IF(K30=1,V29+1,0)</f>
        <v/>
      </c>
      <c r="W30">
        <f>IF(L30=1,W29+1,0)</f>
        <v/>
      </c>
      <c r="X30">
        <f>IF(M30=1,X29+1,0)</f>
        <v/>
      </c>
    </row>
    <row r="31">
      <c r="A31" s="58">
        <f>'Start Here'!$E$6+28</f>
        <v/>
      </c>
      <c r="B31" t="n">
        <v>5</v>
      </c>
      <c r="C31" t="inlineStr">
        <is>
          <t>MON</t>
        </is>
      </c>
      <c r="D31">
        <f>IF(AND(W05!C9&lt;&gt;"",W05!C9&lt;&gt;"✗"),1,0)</f>
        <v/>
      </c>
      <c r="E31">
        <f>IF(AND(W05!C10&lt;&gt;"",W05!C10&lt;&gt;"✗"),1,0)</f>
        <v/>
      </c>
      <c r="F31">
        <f>IF(AND(W05!C11&lt;&gt;"",W05!C11&lt;&gt;"✗"),1,0)</f>
        <v/>
      </c>
      <c r="G31">
        <f>IF(AND(W05!C12&lt;&gt;"",W05!C12&lt;&gt;"✗"),1,0)</f>
        <v/>
      </c>
      <c r="H31">
        <f>IF(AND(W05!C13&lt;&gt;"",W05!C13&lt;&gt;"✗"),1,0)</f>
        <v/>
      </c>
      <c r="I31">
        <f>IF(AND(W05!C14&lt;&gt;"",W05!C14&lt;&gt;"✗"),1,0)</f>
        <v/>
      </c>
      <c r="J31">
        <f>IF(AND(W05!C15&lt;&gt;"",W05!C15&lt;&gt;"✗"),1,0)</f>
        <v/>
      </c>
      <c r="K31">
        <f>IF(AND(W05!C16&lt;&gt;"",W05!C16&lt;&gt;"✗"),1,0)</f>
        <v/>
      </c>
      <c r="L31">
        <f>IF(AND(W05!C17&lt;&gt;"",W05!C17&lt;&gt;"✗"),1,0)</f>
        <v/>
      </c>
      <c r="M31">
        <f>IF(AND(W05!C18&lt;&gt;"",W05!C18&lt;&gt;"✗"),1,0)</f>
        <v/>
      </c>
      <c r="O31">
        <f>IF(D31=1,O30+1,0)</f>
        <v/>
      </c>
      <c r="P31">
        <f>IF(E31=1,P30+1,0)</f>
        <v/>
      </c>
      <c r="Q31">
        <f>IF(F31=1,Q30+1,0)</f>
        <v/>
      </c>
      <c r="R31">
        <f>IF(G31=1,R30+1,0)</f>
        <v/>
      </c>
      <c r="S31">
        <f>IF(H31=1,S30+1,0)</f>
        <v/>
      </c>
      <c r="T31">
        <f>IF(I31=1,T30+1,0)</f>
        <v/>
      </c>
      <c r="U31">
        <f>IF(J31=1,U30+1,0)</f>
        <v/>
      </c>
      <c r="V31">
        <f>IF(K31=1,V30+1,0)</f>
        <v/>
      </c>
      <c r="W31">
        <f>IF(L31=1,W30+1,0)</f>
        <v/>
      </c>
      <c r="X31">
        <f>IF(M31=1,X30+1,0)</f>
        <v/>
      </c>
    </row>
    <row r="32">
      <c r="A32" s="58">
        <f>'Start Here'!$E$6+29</f>
        <v/>
      </c>
      <c r="B32" t="n">
        <v>5</v>
      </c>
      <c r="C32" t="inlineStr">
        <is>
          <t>TUE</t>
        </is>
      </c>
      <c r="D32">
        <f>IF(AND(W05!D9&lt;&gt;"",W05!D9&lt;&gt;"✗"),1,0)</f>
        <v/>
      </c>
      <c r="E32">
        <f>IF(AND(W05!D10&lt;&gt;"",W05!D10&lt;&gt;"✗"),1,0)</f>
        <v/>
      </c>
      <c r="F32">
        <f>IF(AND(W05!D11&lt;&gt;"",W05!D11&lt;&gt;"✗"),1,0)</f>
        <v/>
      </c>
      <c r="G32">
        <f>IF(AND(W05!D12&lt;&gt;"",W05!D12&lt;&gt;"✗"),1,0)</f>
        <v/>
      </c>
      <c r="H32">
        <f>IF(AND(W05!D13&lt;&gt;"",W05!D13&lt;&gt;"✗"),1,0)</f>
        <v/>
      </c>
      <c r="I32">
        <f>IF(AND(W05!D14&lt;&gt;"",W05!D14&lt;&gt;"✗"),1,0)</f>
        <v/>
      </c>
      <c r="J32">
        <f>IF(AND(W05!D15&lt;&gt;"",W05!D15&lt;&gt;"✗"),1,0)</f>
        <v/>
      </c>
      <c r="K32">
        <f>IF(AND(W05!D16&lt;&gt;"",W05!D16&lt;&gt;"✗"),1,0)</f>
        <v/>
      </c>
      <c r="L32">
        <f>IF(AND(W05!D17&lt;&gt;"",W05!D17&lt;&gt;"✗"),1,0)</f>
        <v/>
      </c>
      <c r="M32">
        <f>IF(AND(W05!D18&lt;&gt;"",W05!D18&lt;&gt;"✗"),1,0)</f>
        <v/>
      </c>
      <c r="O32">
        <f>IF(D32=1,O31+1,0)</f>
        <v/>
      </c>
      <c r="P32">
        <f>IF(E32=1,P31+1,0)</f>
        <v/>
      </c>
      <c r="Q32">
        <f>IF(F32=1,Q31+1,0)</f>
        <v/>
      </c>
      <c r="R32">
        <f>IF(G32=1,R31+1,0)</f>
        <v/>
      </c>
      <c r="S32">
        <f>IF(H32=1,S31+1,0)</f>
        <v/>
      </c>
      <c r="T32">
        <f>IF(I32=1,T31+1,0)</f>
        <v/>
      </c>
      <c r="U32">
        <f>IF(J32=1,U31+1,0)</f>
        <v/>
      </c>
      <c r="V32">
        <f>IF(K32=1,V31+1,0)</f>
        <v/>
      </c>
      <c r="W32">
        <f>IF(L32=1,W31+1,0)</f>
        <v/>
      </c>
      <c r="X32">
        <f>IF(M32=1,X31+1,0)</f>
        <v/>
      </c>
    </row>
    <row r="33">
      <c r="A33" s="58">
        <f>'Start Here'!$E$6+30</f>
        <v/>
      </c>
      <c r="B33" t="n">
        <v>5</v>
      </c>
      <c r="C33" t="inlineStr">
        <is>
          <t>WED</t>
        </is>
      </c>
      <c r="D33">
        <f>IF(AND(W05!E9&lt;&gt;"",W05!E9&lt;&gt;"✗"),1,0)</f>
        <v/>
      </c>
      <c r="E33">
        <f>IF(AND(W05!E10&lt;&gt;"",W05!E10&lt;&gt;"✗"),1,0)</f>
        <v/>
      </c>
      <c r="F33">
        <f>IF(AND(W05!E11&lt;&gt;"",W05!E11&lt;&gt;"✗"),1,0)</f>
        <v/>
      </c>
      <c r="G33">
        <f>IF(AND(W05!E12&lt;&gt;"",W05!E12&lt;&gt;"✗"),1,0)</f>
        <v/>
      </c>
      <c r="H33">
        <f>IF(AND(W05!E13&lt;&gt;"",W05!E13&lt;&gt;"✗"),1,0)</f>
        <v/>
      </c>
      <c r="I33">
        <f>IF(AND(W05!E14&lt;&gt;"",W05!E14&lt;&gt;"✗"),1,0)</f>
        <v/>
      </c>
      <c r="J33">
        <f>IF(AND(W05!E15&lt;&gt;"",W05!E15&lt;&gt;"✗"),1,0)</f>
        <v/>
      </c>
      <c r="K33">
        <f>IF(AND(W05!E16&lt;&gt;"",W05!E16&lt;&gt;"✗"),1,0)</f>
        <v/>
      </c>
      <c r="L33">
        <f>IF(AND(W05!E17&lt;&gt;"",W05!E17&lt;&gt;"✗"),1,0)</f>
        <v/>
      </c>
      <c r="M33">
        <f>IF(AND(W05!E18&lt;&gt;"",W05!E18&lt;&gt;"✗"),1,0)</f>
        <v/>
      </c>
      <c r="O33">
        <f>IF(D33=1,O32+1,0)</f>
        <v/>
      </c>
      <c r="P33">
        <f>IF(E33=1,P32+1,0)</f>
        <v/>
      </c>
      <c r="Q33">
        <f>IF(F33=1,Q32+1,0)</f>
        <v/>
      </c>
      <c r="R33">
        <f>IF(G33=1,R32+1,0)</f>
        <v/>
      </c>
      <c r="S33">
        <f>IF(H33=1,S32+1,0)</f>
        <v/>
      </c>
      <c r="T33">
        <f>IF(I33=1,T32+1,0)</f>
        <v/>
      </c>
      <c r="U33">
        <f>IF(J33=1,U32+1,0)</f>
        <v/>
      </c>
      <c r="V33">
        <f>IF(K33=1,V32+1,0)</f>
        <v/>
      </c>
      <c r="W33">
        <f>IF(L33=1,W32+1,0)</f>
        <v/>
      </c>
      <c r="X33">
        <f>IF(M33=1,X32+1,0)</f>
        <v/>
      </c>
    </row>
    <row r="34">
      <c r="A34" s="58">
        <f>'Start Here'!$E$6+31</f>
        <v/>
      </c>
      <c r="B34" t="n">
        <v>5</v>
      </c>
      <c r="C34" t="inlineStr">
        <is>
          <t>THU</t>
        </is>
      </c>
      <c r="D34">
        <f>IF(AND(W05!F9&lt;&gt;"",W05!F9&lt;&gt;"✗"),1,0)</f>
        <v/>
      </c>
      <c r="E34">
        <f>IF(AND(W05!F10&lt;&gt;"",W05!F10&lt;&gt;"✗"),1,0)</f>
        <v/>
      </c>
      <c r="F34">
        <f>IF(AND(W05!F11&lt;&gt;"",W05!F11&lt;&gt;"✗"),1,0)</f>
        <v/>
      </c>
      <c r="G34">
        <f>IF(AND(W05!F12&lt;&gt;"",W05!F12&lt;&gt;"✗"),1,0)</f>
        <v/>
      </c>
      <c r="H34">
        <f>IF(AND(W05!F13&lt;&gt;"",W05!F13&lt;&gt;"✗"),1,0)</f>
        <v/>
      </c>
      <c r="I34">
        <f>IF(AND(W05!F14&lt;&gt;"",W05!F14&lt;&gt;"✗"),1,0)</f>
        <v/>
      </c>
      <c r="J34">
        <f>IF(AND(W05!F15&lt;&gt;"",W05!F15&lt;&gt;"✗"),1,0)</f>
        <v/>
      </c>
      <c r="K34">
        <f>IF(AND(W05!F16&lt;&gt;"",W05!F16&lt;&gt;"✗"),1,0)</f>
        <v/>
      </c>
      <c r="L34">
        <f>IF(AND(W05!F17&lt;&gt;"",W05!F17&lt;&gt;"✗"),1,0)</f>
        <v/>
      </c>
      <c r="M34">
        <f>IF(AND(W05!F18&lt;&gt;"",W05!F18&lt;&gt;"✗"),1,0)</f>
        <v/>
      </c>
      <c r="O34">
        <f>IF(D34=1,O33+1,0)</f>
        <v/>
      </c>
      <c r="P34">
        <f>IF(E34=1,P33+1,0)</f>
        <v/>
      </c>
      <c r="Q34">
        <f>IF(F34=1,Q33+1,0)</f>
        <v/>
      </c>
      <c r="R34">
        <f>IF(G34=1,R33+1,0)</f>
        <v/>
      </c>
      <c r="S34">
        <f>IF(H34=1,S33+1,0)</f>
        <v/>
      </c>
      <c r="T34">
        <f>IF(I34=1,T33+1,0)</f>
        <v/>
      </c>
      <c r="U34">
        <f>IF(J34=1,U33+1,0)</f>
        <v/>
      </c>
      <c r="V34">
        <f>IF(K34=1,V33+1,0)</f>
        <v/>
      </c>
      <c r="W34">
        <f>IF(L34=1,W33+1,0)</f>
        <v/>
      </c>
      <c r="X34">
        <f>IF(M34=1,X33+1,0)</f>
        <v/>
      </c>
    </row>
    <row r="35">
      <c r="A35" s="58">
        <f>'Start Here'!$E$6+32</f>
        <v/>
      </c>
      <c r="B35" t="n">
        <v>5</v>
      </c>
      <c r="C35" t="inlineStr">
        <is>
          <t>FRI</t>
        </is>
      </c>
      <c r="D35">
        <f>IF(AND(W05!G9&lt;&gt;"",W05!G9&lt;&gt;"✗"),1,0)</f>
        <v/>
      </c>
      <c r="E35">
        <f>IF(AND(W05!G10&lt;&gt;"",W05!G10&lt;&gt;"✗"),1,0)</f>
        <v/>
      </c>
      <c r="F35">
        <f>IF(AND(W05!G11&lt;&gt;"",W05!G11&lt;&gt;"✗"),1,0)</f>
        <v/>
      </c>
      <c r="G35">
        <f>IF(AND(W05!G12&lt;&gt;"",W05!G12&lt;&gt;"✗"),1,0)</f>
        <v/>
      </c>
      <c r="H35">
        <f>IF(AND(W05!G13&lt;&gt;"",W05!G13&lt;&gt;"✗"),1,0)</f>
        <v/>
      </c>
      <c r="I35">
        <f>IF(AND(W05!G14&lt;&gt;"",W05!G14&lt;&gt;"✗"),1,0)</f>
        <v/>
      </c>
      <c r="J35">
        <f>IF(AND(W05!G15&lt;&gt;"",W05!G15&lt;&gt;"✗"),1,0)</f>
        <v/>
      </c>
      <c r="K35">
        <f>IF(AND(W05!G16&lt;&gt;"",W05!G16&lt;&gt;"✗"),1,0)</f>
        <v/>
      </c>
      <c r="L35">
        <f>IF(AND(W05!G17&lt;&gt;"",W05!G17&lt;&gt;"✗"),1,0)</f>
        <v/>
      </c>
      <c r="M35">
        <f>IF(AND(W05!G18&lt;&gt;"",W05!G18&lt;&gt;"✗"),1,0)</f>
        <v/>
      </c>
      <c r="O35">
        <f>IF(D35=1,O34+1,0)</f>
        <v/>
      </c>
      <c r="P35">
        <f>IF(E35=1,P34+1,0)</f>
        <v/>
      </c>
      <c r="Q35">
        <f>IF(F35=1,Q34+1,0)</f>
        <v/>
      </c>
      <c r="R35">
        <f>IF(G35=1,R34+1,0)</f>
        <v/>
      </c>
      <c r="S35">
        <f>IF(H35=1,S34+1,0)</f>
        <v/>
      </c>
      <c r="T35">
        <f>IF(I35=1,T34+1,0)</f>
        <v/>
      </c>
      <c r="U35">
        <f>IF(J35=1,U34+1,0)</f>
        <v/>
      </c>
      <c r="V35">
        <f>IF(K35=1,V34+1,0)</f>
        <v/>
      </c>
      <c r="W35">
        <f>IF(L35=1,W34+1,0)</f>
        <v/>
      </c>
      <c r="X35">
        <f>IF(M35=1,X34+1,0)</f>
        <v/>
      </c>
    </row>
    <row r="36">
      <c r="A36" s="58">
        <f>'Start Here'!$E$6+33</f>
        <v/>
      </c>
      <c r="B36" t="n">
        <v>5</v>
      </c>
      <c r="C36" t="inlineStr">
        <is>
          <t>SAT</t>
        </is>
      </c>
      <c r="D36">
        <f>IF(AND(W05!H9&lt;&gt;"",W05!H9&lt;&gt;"✗"),1,0)</f>
        <v/>
      </c>
      <c r="E36">
        <f>IF(AND(W05!H10&lt;&gt;"",W05!H10&lt;&gt;"✗"),1,0)</f>
        <v/>
      </c>
      <c r="F36">
        <f>IF(AND(W05!H11&lt;&gt;"",W05!H11&lt;&gt;"✗"),1,0)</f>
        <v/>
      </c>
      <c r="G36">
        <f>IF(AND(W05!H12&lt;&gt;"",W05!H12&lt;&gt;"✗"),1,0)</f>
        <v/>
      </c>
      <c r="H36">
        <f>IF(AND(W05!H13&lt;&gt;"",W05!H13&lt;&gt;"✗"),1,0)</f>
        <v/>
      </c>
      <c r="I36">
        <f>IF(AND(W05!H14&lt;&gt;"",W05!H14&lt;&gt;"✗"),1,0)</f>
        <v/>
      </c>
      <c r="J36">
        <f>IF(AND(W05!H15&lt;&gt;"",W05!H15&lt;&gt;"✗"),1,0)</f>
        <v/>
      </c>
      <c r="K36">
        <f>IF(AND(W05!H16&lt;&gt;"",W05!H16&lt;&gt;"✗"),1,0)</f>
        <v/>
      </c>
      <c r="L36">
        <f>IF(AND(W05!H17&lt;&gt;"",W05!H17&lt;&gt;"✗"),1,0)</f>
        <v/>
      </c>
      <c r="M36">
        <f>IF(AND(W05!H18&lt;&gt;"",W05!H18&lt;&gt;"✗"),1,0)</f>
        <v/>
      </c>
      <c r="O36">
        <f>IF(D36=1,O35+1,0)</f>
        <v/>
      </c>
      <c r="P36">
        <f>IF(E36=1,P35+1,0)</f>
        <v/>
      </c>
      <c r="Q36">
        <f>IF(F36=1,Q35+1,0)</f>
        <v/>
      </c>
      <c r="R36">
        <f>IF(G36=1,R35+1,0)</f>
        <v/>
      </c>
      <c r="S36">
        <f>IF(H36=1,S35+1,0)</f>
        <v/>
      </c>
      <c r="T36">
        <f>IF(I36=1,T35+1,0)</f>
        <v/>
      </c>
      <c r="U36">
        <f>IF(J36=1,U35+1,0)</f>
        <v/>
      </c>
      <c r="V36">
        <f>IF(K36=1,V35+1,0)</f>
        <v/>
      </c>
      <c r="W36">
        <f>IF(L36=1,W35+1,0)</f>
        <v/>
      </c>
      <c r="X36">
        <f>IF(M36=1,X35+1,0)</f>
        <v/>
      </c>
    </row>
    <row r="37">
      <c r="A37" s="58">
        <f>'Start Here'!$E$6+34</f>
        <v/>
      </c>
      <c r="B37" t="n">
        <v>5</v>
      </c>
      <c r="C37" t="inlineStr">
        <is>
          <t>SUN</t>
        </is>
      </c>
      <c r="D37">
        <f>IF(AND(W05!I9&lt;&gt;"",W05!I9&lt;&gt;"✗"),1,0)</f>
        <v/>
      </c>
      <c r="E37">
        <f>IF(AND(W05!I10&lt;&gt;"",W05!I10&lt;&gt;"✗"),1,0)</f>
        <v/>
      </c>
      <c r="F37">
        <f>IF(AND(W05!I11&lt;&gt;"",W05!I11&lt;&gt;"✗"),1,0)</f>
        <v/>
      </c>
      <c r="G37">
        <f>IF(AND(W05!I12&lt;&gt;"",W05!I12&lt;&gt;"✗"),1,0)</f>
        <v/>
      </c>
      <c r="H37">
        <f>IF(AND(W05!I13&lt;&gt;"",W05!I13&lt;&gt;"✗"),1,0)</f>
        <v/>
      </c>
      <c r="I37">
        <f>IF(AND(W05!I14&lt;&gt;"",W05!I14&lt;&gt;"✗"),1,0)</f>
        <v/>
      </c>
      <c r="J37">
        <f>IF(AND(W05!I15&lt;&gt;"",W05!I15&lt;&gt;"✗"),1,0)</f>
        <v/>
      </c>
      <c r="K37">
        <f>IF(AND(W05!I16&lt;&gt;"",W05!I16&lt;&gt;"✗"),1,0)</f>
        <v/>
      </c>
      <c r="L37">
        <f>IF(AND(W05!I17&lt;&gt;"",W05!I17&lt;&gt;"✗"),1,0)</f>
        <v/>
      </c>
      <c r="M37">
        <f>IF(AND(W05!I18&lt;&gt;"",W05!I18&lt;&gt;"✗"),1,0)</f>
        <v/>
      </c>
      <c r="O37">
        <f>IF(D37=1,O36+1,0)</f>
        <v/>
      </c>
      <c r="P37">
        <f>IF(E37=1,P36+1,0)</f>
        <v/>
      </c>
      <c r="Q37">
        <f>IF(F37=1,Q36+1,0)</f>
        <v/>
      </c>
      <c r="R37">
        <f>IF(G37=1,R36+1,0)</f>
        <v/>
      </c>
      <c r="S37">
        <f>IF(H37=1,S36+1,0)</f>
        <v/>
      </c>
      <c r="T37">
        <f>IF(I37=1,T36+1,0)</f>
        <v/>
      </c>
      <c r="U37">
        <f>IF(J37=1,U36+1,0)</f>
        <v/>
      </c>
      <c r="V37">
        <f>IF(K37=1,V36+1,0)</f>
        <v/>
      </c>
      <c r="W37">
        <f>IF(L37=1,W36+1,0)</f>
        <v/>
      </c>
      <c r="X37">
        <f>IF(M37=1,X36+1,0)</f>
        <v/>
      </c>
    </row>
    <row r="38">
      <c r="A38" s="58">
        <f>'Start Here'!$E$6+35</f>
        <v/>
      </c>
      <c r="B38" t="n">
        <v>6</v>
      </c>
      <c r="C38" t="inlineStr">
        <is>
          <t>MON</t>
        </is>
      </c>
      <c r="D38">
        <f>IF(AND(W06!C9&lt;&gt;"",W06!C9&lt;&gt;"✗"),1,0)</f>
        <v/>
      </c>
      <c r="E38">
        <f>IF(AND(W06!C10&lt;&gt;"",W06!C10&lt;&gt;"✗"),1,0)</f>
        <v/>
      </c>
      <c r="F38">
        <f>IF(AND(W06!C11&lt;&gt;"",W06!C11&lt;&gt;"✗"),1,0)</f>
        <v/>
      </c>
      <c r="G38">
        <f>IF(AND(W06!C12&lt;&gt;"",W06!C12&lt;&gt;"✗"),1,0)</f>
        <v/>
      </c>
      <c r="H38">
        <f>IF(AND(W06!C13&lt;&gt;"",W06!C13&lt;&gt;"✗"),1,0)</f>
        <v/>
      </c>
      <c r="I38">
        <f>IF(AND(W06!C14&lt;&gt;"",W06!C14&lt;&gt;"✗"),1,0)</f>
        <v/>
      </c>
      <c r="J38">
        <f>IF(AND(W06!C15&lt;&gt;"",W06!C15&lt;&gt;"✗"),1,0)</f>
        <v/>
      </c>
      <c r="K38">
        <f>IF(AND(W06!C16&lt;&gt;"",W06!C16&lt;&gt;"✗"),1,0)</f>
        <v/>
      </c>
      <c r="L38">
        <f>IF(AND(W06!C17&lt;&gt;"",W06!C17&lt;&gt;"✗"),1,0)</f>
        <v/>
      </c>
      <c r="M38">
        <f>IF(AND(W06!C18&lt;&gt;"",W06!C18&lt;&gt;"✗"),1,0)</f>
        <v/>
      </c>
      <c r="O38">
        <f>IF(D38=1,O37+1,0)</f>
        <v/>
      </c>
      <c r="P38">
        <f>IF(E38=1,P37+1,0)</f>
        <v/>
      </c>
      <c r="Q38">
        <f>IF(F38=1,Q37+1,0)</f>
        <v/>
      </c>
      <c r="R38">
        <f>IF(G38=1,R37+1,0)</f>
        <v/>
      </c>
      <c r="S38">
        <f>IF(H38=1,S37+1,0)</f>
        <v/>
      </c>
      <c r="T38">
        <f>IF(I38=1,T37+1,0)</f>
        <v/>
      </c>
      <c r="U38">
        <f>IF(J38=1,U37+1,0)</f>
        <v/>
      </c>
      <c r="V38">
        <f>IF(K38=1,V37+1,0)</f>
        <v/>
      </c>
      <c r="W38">
        <f>IF(L38=1,W37+1,0)</f>
        <v/>
      </c>
      <c r="X38">
        <f>IF(M38=1,X37+1,0)</f>
        <v/>
      </c>
    </row>
    <row r="39">
      <c r="A39" s="58">
        <f>'Start Here'!$E$6+36</f>
        <v/>
      </c>
      <c r="B39" t="n">
        <v>6</v>
      </c>
      <c r="C39" t="inlineStr">
        <is>
          <t>TUE</t>
        </is>
      </c>
      <c r="D39">
        <f>IF(AND(W06!D9&lt;&gt;"",W06!D9&lt;&gt;"✗"),1,0)</f>
        <v/>
      </c>
      <c r="E39">
        <f>IF(AND(W06!D10&lt;&gt;"",W06!D10&lt;&gt;"✗"),1,0)</f>
        <v/>
      </c>
      <c r="F39">
        <f>IF(AND(W06!D11&lt;&gt;"",W06!D11&lt;&gt;"✗"),1,0)</f>
        <v/>
      </c>
      <c r="G39">
        <f>IF(AND(W06!D12&lt;&gt;"",W06!D12&lt;&gt;"✗"),1,0)</f>
        <v/>
      </c>
      <c r="H39">
        <f>IF(AND(W06!D13&lt;&gt;"",W06!D13&lt;&gt;"✗"),1,0)</f>
        <v/>
      </c>
      <c r="I39">
        <f>IF(AND(W06!D14&lt;&gt;"",W06!D14&lt;&gt;"✗"),1,0)</f>
        <v/>
      </c>
      <c r="J39">
        <f>IF(AND(W06!D15&lt;&gt;"",W06!D15&lt;&gt;"✗"),1,0)</f>
        <v/>
      </c>
      <c r="K39">
        <f>IF(AND(W06!D16&lt;&gt;"",W06!D16&lt;&gt;"✗"),1,0)</f>
        <v/>
      </c>
      <c r="L39">
        <f>IF(AND(W06!D17&lt;&gt;"",W06!D17&lt;&gt;"✗"),1,0)</f>
        <v/>
      </c>
      <c r="M39">
        <f>IF(AND(W06!D18&lt;&gt;"",W06!D18&lt;&gt;"✗"),1,0)</f>
        <v/>
      </c>
      <c r="O39">
        <f>IF(D39=1,O38+1,0)</f>
        <v/>
      </c>
      <c r="P39">
        <f>IF(E39=1,P38+1,0)</f>
        <v/>
      </c>
      <c r="Q39">
        <f>IF(F39=1,Q38+1,0)</f>
        <v/>
      </c>
      <c r="R39">
        <f>IF(G39=1,R38+1,0)</f>
        <v/>
      </c>
      <c r="S39">
        <f>IF(H39=1,S38+1,0)</f>
        <v/>
      </c>
      <c r="T39">
        <f>IF(I39=1,T38+1,0)</f>
        <v/>
      </c>
      <c r="U39">
        <f>IF(J39=1,U38+1,0)</f>
        <v/>
      </c>
      <c r="V39">
        <f>IF(K39=1,V38+1,0)</f>
        <v/>
      </c>
      <c r="W39">
        <f>IF(L39=1,W38+1,0)</f>
        <v/>
      </c>
      <c r="X39">
        <f>IF(M39=1,X38+1,0)</f>
        <v/>
      </c>
    </row>
    <row r="40">
      <c r="A40" s="58">
        <f>'Start Here'!$E$6+37</f>
        <v/>
      </c>
      <c r="B40" t="n">
        <v>6</v>
      </c>
      <c r="C40" t="inlineStr">
        <is>
          <t>WED</t>
        </is>
      </c>
      <c r="D40">
        <f>IF(AND(W06!E9&lt;&gt;"",W06!E9&lt;&gt;"✗"),1,0)</f>
        <v/>
      </c>
      <c r="E40">
        <f>IF(AND(W06!E10&lt;&gt;"",W06!E10&lt;&gt;"✗"),1,0)</f>
        <v/>
      </c>
      <c r="F40">
        <f>IF(AND(W06!E11&lt;&gt;"",W06!E11&lt;&gt;"✗"),1,0)</f>
        <v/>
      </c>
      <c r="G40">
        <f>IF(AND(W06!E12&lt;&gt;"",W06!E12&lt;&gt;"✗"),1,0)</f>
        <v/>
      </c>
      <c r="H40">
        <f>IF(AND(W06!E13&lt;&gt;"",W06!E13&lt;&gt;"✗"),1,0)</f>
        <v/>
      </c>
      <c r="I40">
        <f>IF(AND(W06!E14&lt;&gt;"",W06!E14&lt;&gt;"✗"),1,0)</f>
        <v/>
      </c>
      <c r="J40">
        <f>IF(AND(W06!E15&lt;&gt;"",W06!E15&lt;&gt;"✗"),1,0)</f>
        <v/>
      </c>
      <c r="K40">
        <f>IF(AND(W06!E16&lt;&gt;"",W06!E16&lt;&gt;"✗"),1,0)</f>
        <v/>
      </c>
      <c r="L40">
        <f>IF(AND(W06!E17&lt;&gt;"",W06!E17&lt;&gt;"✗"),1,0)</f>
        <v/>
      </c>
      <c r="M40">
        <f>IF(AND(W06!E18&lt;&gt;"",W06!E18&lt;&gt;"✗"),1,0)</f>
        <v/>
      </c>
      <c r="O40">
        <f>IF(D40=1,O39+1,0)</f>
        <v/>
      </c>
      <c r="P40">
        <f>IF(E40=1,P39+1,0)</f>
        <v/>
      </c>
      <c r="Q40">
        <f>IF(F40=1,Q39+1,0)</f>
        <v/>
      </c>
      <c r="R40">
        <f>IF(G40=1,R39+1,0)</f>
        <v/>
      </c>
      <c r="S40">
        <f>IF(H40=1,S39+1,0)</f>
        <v/>
      </c>
      <c r="T40">
        <f>IF(I40=1,T39+1,0)</f>
        <v/>
      </c>
      <c r="U40">
        <f>IF(J40=1,U39+1,0)</f>
        <v/>
      </c>
      <c r="V40">
        <f>IF(K40=1,V39+1,0)</f>
        <v/>
      </c>
      <c r="W40">
        <f>IF(L40=1,W39+1,0)</f>
        <v/>
      </c>
      <c r="X40">
        <f>IF(M40=1,X39+1,0)</f>
        <v/>
      </c>
    </row>
    <row r="41">
      <c r="A41" s="58">
        <f>'Start Here'!$E$6+38</f>
        <v/>
      </c>
      <c r="B41" t="n">
        <v>6</v>
      </c>
      <c r="C41" t="inlineStr">
        <is>
          <t>THU</t>
        </is>
      </c>
      <c r="D41">
        <f>IF(AND(W06!F9&lt;&gt;"",W06!F9&lt;&gt;"✗"),1,0)</f>
        <v/>
      </c>
      <c r="E41">
        <f>IF(AND(W06!F10&lt;&gt;"",W06!F10&lt;&gt;"✗"),1,0)</f>
        <v/>
      </c>
      <c r="F41">
        <f>IF(AND(W06!F11&lt;&gt;"",W06!F11&lt;&gt;"✗"),1,0)</f>
        <v/>
      </c>
      <c r="G41">
        <f>IF(AND(W06!F12&lt;&gt;"",W06!F12&lt;&gt;"✗"),1,0)</f>
        <v/>
      </c>
      <c r="H41">
        <f>IF(AND(W06!F13&lt;&gt;"",W06!F13&lt;&gt;"✗"),1,0)</f>
        <v/>
      </c>
      <c r="I41">
        <f>IF(AND(W06!F14&lt;&gt;"",W06!F14&lt;&gt;"✗"),1,0)</f>
        <v/>
      </c>
      <c r="J41">
        <f>IF(AND(W06!F15&lt;&gt;"",W06!F15&lt;&gt;"✗"),1,0)</f>
        <v/>
      </c>
      <c r="K41">
        <f>IF(AND(W06!F16&lt;&gt;"",W06!F16&lt;&gt;"✗"),1,0)</f>
        <v/>
      </c>
      <c r="L41">
        <f>IF(AND(W06!F17&lt;&gt;"",W06!F17&lt;&gt;"✗"),1,0)</f>
        <v/>
      </c>
      <c r="M41">
        <f>IF(AND(W06!F18&lt;&gt;"",W06!F18&lt;&gt;"✗"),1,0)</f>
        <v/>
      </c>
      <c r="O41">
        <f>IF(D41=1,O40+1,0)</f>
        <v/>
      </c>
      <c r="P41">
        <f>IF(E41=1,P40+1,0)</f>
        <v/>
      </c>
      <c r="Q41">
        <f>IF(F41=1,Q40+1,0)</f>
        <v/>
      </c>
      <c r="R41">
        <f>IF(G41=1,R40+1,0)</f>
        <v/>
      </c>
      <c r="S41">
        <f>IF(H41=1,S40+1,0)</f>
        <v/>
      </c>
      <c r="T41">
        <f>IF(I41=1,T40+1,0)</f>
        <v/>
      </c>
      <c r="U41">
        <f>IF(J41=1,U40+1,0)</f>
        <v/>
      </c>
      <c r="V41">
        <f>IF(K41=1,V40+1,0)</f>
        <v/>
      </c>
      <c r="W41">
        <f>IF(L41=1,W40+1,0)</f>
        <v/>
      </c>
      <c r="X41">
        <f>IF(M41=1,X40+1,0)</f>
        <v/>
      </c>
    </row>
    <row r="42">
      <c r="A42" s="58">
        <f>'Start Here'!$E$6+39</f>
        <v/>
      </c>
      <c r="B42" t="n">
        <v>6</v>
      </c>
      <c r="C42" t="inlineStr">
        <is>
          <t>FRI</t>
        </is>
      </c>
      <c r="D42">
        <f>IF(AND(W06!G9&lt;&gt;"",W06!G9&lt;&gt;"✗"),1,0)</f>
        <v/>
      </c>
      <c r="E42">
        <f>IF(AND(W06!G10&lt;&gt;"",W06!G10&lt;&gt;"✗"),1,0)</f>
        <v/>
      </c>
      <c r="F42">
        <f>IF(AND(W06!G11&lt;&gt;"",W06!G11&lt;&gt;"✗"),1,0)</f>
        <v/>
      </c>
      <c r="G42">
        <f>IF(AND(W06!G12&lt;&gt;"",W06!G12&lt;&gt;"✗"),1,0)</f>
        <v/>
      </c>
      <c r="H42">
        <f>IF(AND(W06!G13&lt;&gt;"",W06!G13&lt;&gt;"✗"),1,0)</f>
        <v/>
      </c>
      <c r="I42">
        <f>IF(AND(W06!G14&lt;&gt;"",W06!G14&lt;&gt;"✗"),1,0)</f>
        <v/>
      </c>
      <c r="J42">
        <f>IF(AND(W06!G15&lt;&gt;"",W06!G15&lt;&gt;"✗"),1,0)</f>
        <v/>
      </c>
      <c r="K42">
        <f>IF(AND(W06!G16&lt;&gt;"",W06!G16&lt;&gt;"✗"),1,0)</f>
        <v/>
      </c>
      <c r="L42">
        <f>IF(AND(W06!G17&lt;&gt;"",W06!G17&lt;&gt;"✗"),1,0)</f>
        <v/>
      </c>
      <c r="M42">
        <f>IF(AND(W06!G18&lt;&gt;"",W06!G18&lt;&gt;"✗"),1,0)</f>
        <v/>
      </c>
      <c r="O42">
        <f>IF(D42=1,O41+1,0)</f>
        <v/>
      </c>
      <c r="P42">
        <f>IF(E42=1,P41+1,0)</f>
        <v/>
      </c>
      <c r="Q42">
        <f>IF(F42=1,Q41+1,0)</f>
        <v/>
      </c>
      <c r="R42">
        <f>IF(G42=1,R41+1,0)</f>
        <v/>
      </c>
      <c r="S42">
        <f>IF(H42=1,S41+1,0)</f>
        <v/>
      </c>
      <c r="T42">
        <f>IF(I42=1,T41+1,0)</f>
        <v/>
      </c>
      <c r="U42">
        <f>IF(J42=1,U41+1,0)</f>
        <v/>
      </c>
      <c r="V42">
        <f>IF(K42=1,V41+1,0)</f>
        <v/>
      </c>
      <c r="W42">
        <f>IF(L42=1,W41+1,0)</f>
        <v/>
      </c>
      <c r="X42">
        <f>IF(M42=1,X41+1,0)</f>
        <v/>
      </c>
    </row>
    <row r="43">
      <c r="A43" s="58">
        <f>'Start Here'!$E$6+40</f>
        <v/>
      </c>
      <c r="B43" t="n">
        <v>6</v>
      </c>
      <c r="C43" t="inlineStr">
        <is>
          <t>SAT</t>
        </is>
      </c>
      <c r="D43">
        <f>IF(AND(W06!H9&lt;&gt;"",W06!H9&lt;&gt;"✗"),1,0)</f>
        <v/>
      </c>
      <c r="E43">
        <f>IF(AND(W06!H10&lt;&gt;"",W06!H10&lt;&gt;"✗"),1,0)</f>
        <v/>
      </c>
      <c r="F43">
        <f>IF(AND(W06!H11&lt;&gt;"",W06!H11&lt;&gt;"✗"),1,0)</f>
        <v/>
      </c>
      <c r="G43">
        <f>IF(AND(W06!H12&lt;&gt;"",W06!H12&lt;&gt;"✗"),1,0)</f>
        <v/>
      </c>
      <c r="H43">
        <f>IF(AND(W06!H13&lt;&gt;"",W06!H13&lt;&gt;"✗"),1,0)</f>
        <v/>
      </c>
      <c r="I43">
        <f>IF(AND(W06!H14&lt;&gt;"",W06!H14&lt;&gt;"✗"),1,0)</f>
        <v/>
      </c>
      <c r="J43">
        <f>IF(AND(W06!H15&lt;&gt;"",W06!H15&lt;&gt;"✗"),1,0)</f>
        <v/>
      </c>
      <c r="K43">
        <f>IF(AND(W06!H16&lt;&gt;"",W06!H16&lt;&gt;"✗"),1,0)</f>
        <v/>
      </c>
      <c r="L43">
        <f>IF(AND(W06!H17&lt;&gt;"",W06!H17&lt;&gt;"✗"),1,0)</f>
        <v/>
      </c>
      <c r="M43">
        <f>IF(AND(W06!H18&lt;&gt;"",W06!H18&lt;&gt;"✗"),1,0)</f>
        <v/>
      </c>
      <c r="O43">
        <f>IF(D43=1,O42+1,0)</f>
        <v/>
      </c>
      <c r="P43">
        <f>IF(E43=1,P42+1,0)</f>
        <v/>
      </c>
      <c r="Q43">
        <f>IF(F43=1,Q42+1,0)</f>
        <v/>
      </c>
      <c r="R43">
        <f>IF(G43=1,R42+1,0)</f>
        <v/>
      </c>
      <c r="S43">
        <f>IF(H43=1,S42+1,0)</f>
        <v/>
      </c>
      <c r="T43">
        <f>IF(I43=1,T42+1,0)</f>
        <v/>
      </c>
      <c r="U43">
        <f>IF(J43=1,U42+1,0)</f>
        <v/>
      </c>
      <c r="V43">
        <f>IF(K43=1,V42+1,0)</f>
        <v/>
      </c>
      <c r="W43">
        <f>IF(L43=1,W42+1,0)</f>
        <v/>
      </c>
      <c r="X43">
        <f>IF(M43=1,X42+1,0)</f>
        <v/>
      </c>
    </row>
    <row r="44">
      <c r="A44" s="58">
        <f>'Start Here'!$E$6+41</f>
        <v/>
      </c>
      <c r="B44" t="n">
        <v>6</v>
      </c>
      <c r="C44" t="inlineStr">
        <is>
          <t>SUN</t>
        </is>
      </c>
      <c r="D44">
        <f>IF(AND(W06!I9&lt;&gt;"",W06!I9&lt;&gt;"✗"),1,0)</f>
        <v/>
      </c>
      <c r="E44">
        <f>IF(AND(W06!I10&lt;&gt;"",W06!I10&lt;&gt;"✗"),1,0)</f>
        <v/>
      </c>
      <c r="F44">
        <f>IF(AND(W06!I11&lt;&gt;"",W06!I11&lt;&gt;"✗"),1,0)</f>
        <v/>
      </c>
      <c r="G44">
        <f>IF(AND(W06!I12&lt;&gt;"",W06!I12&lt;&gt;"✗"),1,0)</f>
        <v/>
      </c>
      <c r="H44">
        <f>IF(AND(W06!I13&lt;&gt;"",W06!I13&lt;&gt;"✗"),1,0)</f>
        <v/>
      </c>
      <c r="I44">
        <f>IF(AND(W06!I14&lt;&gt;"",W06!I14&lt;&gt;"✗"),1,0)</f>
        <v/>
      </c>
      <c r="J44">
        <f>IF(AND(W06!I15&lt;&gt;"",W06!I15&lt;&gt;"✗"),1,0)</f>
        <v/>
      </c>
      <c r="K44">
        <f>IF(AND(W06!I16&lt;&gt;"",W06!I16&lt;&gt;"✗"),1,0)</f>
        <v/>
      </c>
      <c r="L44">
        <f>IF(AND(W06!I17&lt;&gt;"",W06!I17&lt;&gt;"✗"),1,0)</f>
        <v/>
      </c>
      <c r="M44">
        <f>IF(AND(W06!I18&lt;&gt;"",W06!I18&lt;&gt;"✗"),1,0)</f>
        <v/>
      </c>
      <c r="O44">
        <f>IF(D44=1,O43+1,0)</f>
        <v/>
      </c>
      <c r="P44">
        <f>IF(E44=1,P43+1,0)</f>
        <v/>
      </c>
      <c r="Q44">
        <f>IF(F44=1,Q43+1,0)</f>
        <v/>
      </c>
      <c r="R44">
        <f>IF(G44=1,R43+1,0)</f>
        <v/>
      </c>
      <c r="S44">
        <f>IF(H44=1,S43+1,0)</f>
        <v/>
      </c>
      <c r="T44">
        <f>IF(I44=1,T43+1,0)</f>
        <v/>
      </c>
      <c r="U44">
        <f>IF(J44=1,U43+1,0)</f>
        <v/>
      </c>
      <c r="V44">
        <f>IF(K44=1,V43+1,0)</f>
        <v/>
      </c>
      <c r="W44">
        <f>IF(L44=1,W43+1,0)</f>
        <v/>
      </c>
      <c r="X44">
        <f>IF(M44=1,X43+1,0)</f>
        <v/>
      </c>
    </row>
    <row r="45">
      <c r="A45" s="58">
        <f>'Start Here'!$E$6+42</f>
        <v/>
      </c>
      <c r="B45" t="n">
        <v>7</v>
      </c>
      <c r="C45" t="inlineStr">
        <is>
          <t>MON</t>
        </is>
      </c>
      <c r="D45">
        <f>IF(AND(W07!C9&lt;&gt;"",W07!C9&lt;&gt;"✗"),1,0)</f>
        <v/>
      </c>
      <c r="E45">
        <f>IF(AND(W07!C10&lt;&gt;"",W07!C10&lt;&gt;"✗"),1,0)</f>
        <v/>
      </c>
      <c r="F45">
        <f>IF(AND(W07!C11&lt;&gt;"",W07!C11&lt;&gt;"✗"),1,0)</f>
        <v/>
      </c>
      <c r="G45">
        <f>IF(AND(W07!C12&lt;&gt;"",W07!C12&lt;&gt;"✗"),1,0)</f>
        <v/>
      </c>
      <c r="H45">
        <f>IF(AND(W07!C13&lt;&gt;"",W07!C13&lt;&gt;"✗"),1,0)</f>
        <v/>
      </c>
      <c r="I45">
        <f>IF(AND(W07!C14&lt;&gt;"",W07!C14&lt;&gt;"✗"),1,0)</f>
        <v/>
      </c>
      <c r="J45">
        <f>IF(AND(W07!C15&lt;&gt;"",W07!C15&lt;&gt;"✗"),1,0)</f>
        <v/>
      </c>
      <c r="K45">
        <f>IF(AND(W07!C16&lt;&gt;"",W07!C16&lt;&gt;"✗"),1,0)</f>
        <v/>
      </c>
      <c r="L45">
        <f>IF(AND(W07!C17&lt;&gt;"",W07!C17&lt;&gt;"✗"),1,0)</f>
        <v/>
      </c>
      <c r="M45">
        <f>IF(AND(W07!C18&lt;&gt;"",W07!C18&lt;&gt;"✗"),1,0)</f>
        <v/>
      </c>
      <c r="O45">
        <f>IF(D45=1,O44+1,0)</f>
        <v/>
      </c>
      <c r="P45">
        <f>IF(E45=1,P44+1,0)</f>
        <v/>
      </c>
      <c r="Q45">
        <f>IF(F45=1,Q44+1,0)</f>
        <v/>
      </c>
      <c r="R45">
        <f>IF(G45=1,R44+1,0)</f>
        <v/>
      </c>
      <c r="S45">
        <f>IF(H45=1,S44+1,0)</f>
        <v/>
      </c>
      <c r="T45">
        <f>IF(I45=1,T44+1,0)</f>
        <v/>
      </c>
      <c r="U45">
        <f>IF(J45=1,U44+1,0)</f>
        <v/>
      </c>
      <c r="V45">
        <f>IF(K45=1,V44+1,0)</f>
        <v/>
      </c>
      <c r="W45">
        <f>IF(L45=1,W44+1,0)</f>
        <v/>
      </c>
      <c r="X45">
        <f>IF(M45=1,X44+1,0)</f>
        <v/>
      </c>
    </row>
    <row r="46">
      <c r="A46" s="58">
        <f>'Start Here'!$E$6+43</f>
        <v/>
      </c>
      <c r="B46" t="n">
        <v>7</v>
      </c>
      <c r="C46" t="inlineStr">
        <is>
          <t>TUE</t>
        </is>
      </c>
      <c r="D46">
        <f>IF(AND(W07!D9&lt;&gt;"",W07!D9&lt;&gt;"✗"),1,0)</f>
        <v/>
      </c>
      <c r="E46">
        <f>IF(AND(W07!D10&lt;&gt;"",W07!D10&lt;&gt;"✗"),1,0)</f>
        <v/>
      </c>
      <c r="F46">
        <f>IF(AND(W07!D11&lt;&gt;"",W07!D11&lt;&gt;"✗"),1,0)</f>
        <v/>
      </c>
      <c r="G46">
        <f>IF(AND(W07!D12&lt;&gt;"",W07!D12&lt;&gt;"✗"),1,0)</f>
        <v/>
      </c>
      <c r="H46">
        <f>IF(AND(W07!D13&lt;&gt;"",W07!D13&lt;&gt;"✗"),1,0)</f>
        <v/>
      </c>
      <c r="I46">
        <f>IF(AND(W07!D14&lt;&gt;"",W07!D14&lt;&gt;"✗"),1,0)</f>
        <v/>
      </c>
      <c r="J46">
        <f>IF(AND(W07!D15&lt;&gt;"",W07!D15&lt;&gt;"✗"),1,0)</f>
        <v/>
      </c>
      <c r="K46">
        <f>IF(AND(W07!D16&lt;&gt;"",W07!D16&lt;&gt;"✗"),1,0)</f>
        <v/>
      </c>
      <c r="L46">
        <f>IF(AND(W07!D17&lt;&gt;"",W07!D17&lt;&gt;"✗"),1,0)</f>
        <v/>
      </c>
      <c r="M46">
        <f>IF(AND(W07!D18&lt;&gt;"",W07!D18&lt;&gt;"✗"),1,0)</f>
        <v/>
      </c>
      <c r="O46">
        <f>IF(D46=1,O45+1,0)</f>
        <v/>
      </c>
      <c r="P46">
        <f>IF(E46=1,P45+1,0)</f>
        <v/>
      </c>
      <c r="Q46">
        <f>IF(F46=1,Q45+1,0)</f>
        <v/>
      </c>
      <c r="R46">
        <f>IF(G46=1,R45+1,0)</f>
        <v/>
      </c>
      <c r="S46">
        <f>IF(H46=1,S45+1,0)</f>
        <v/>
      </c>
      <c r="T46">
        <f>IF(I46=1,T45+1,0)</f>
        <v/>
      </c>
      <c r="U46">
        <f>IF(J46=1,U45+1,0)</f>
        <v/>
      </c>
      <c r="V46">
        <f>IF(K46=1,V45+1,0)</f>
        <v/>
      </c>
      <c r="W46">
        <f>IF(L46=1,W45+1,0)</f>
        <v/>
      </c>
      <c r="X46">
        <f>IF(M46=1,X45+1,0)</f>
        <v/>
      </c>
    </row>
    <row r="47">
      <c r="A47" s="58">
        <f>'Start Here'!$E$6+44</f>
        <v/>
      </c>
      <c r="B47" t="n">
        <v>7</v>
      </c>
      <c r="C47" t="inlineStr">
        <is>
          <t>WED</t>
        </is>
      </c>
      <c r="D47">
        <f>IF(AND(W07!E9&lt;&gt;"",W07!E9&lt;&gt;"✗"),1,0)</f>
        <v/>
      </c>
      <c r="E47">
        <f>IF(AND(W07!E10&lt;&gt;"",W07!E10&lt;&gt;"✗"),1,0)</f>
        <v/>
      </c>
      <c r="F47">
        <f>IF(AND(W07!E11&lt;&gt;"",W07!E11&lt;&gt;"✗"),1,0)</f>
        <v/>
      </c>
      <c r="G47">
        <f>IF(AND(W07!E12&lt;&gt;"",W07!E12&lt;&gt;"✗"),1,0)</f>
        <v/>
      </c>
      <c r="H47">
        <f>IF(AND(W07!E13&lt;&gt;"",W07!E13&lt;&gt;"✗"),1,0)</f>
        <v/>
      </c>
      <c r="I47">
        <f>IF(AND(W07!E14&lt;&gt;"",W07!E14&lt;&gt;"✗"),1,0)</f>
        <v/>
      </c>
      <c r="J47">
        <f>IF(AND(W07!E15&lt;&gt;"",W07!E15&lt;&gt;"✗"),1,0)</f>
        <v/>
      </c>
      <c r="K47">
        <f>IF(AND(W07!E16&lt;&gt;"",W07!E16&lt;&gt;"✗"),1,0)</f>
        <v/>
      </c>
      <c r="L47">
        <f>IF(AND(W07!E17&lt;&gt;"",W07!E17&lt;&gt;"✗"),1,0)</f>
        <v/>
      </c>
      <c r="M47">
        <f>IF(AND(W07!E18&lt;&gt;"",W07!E18&lt;&gt;"✗"),1,0)</f>
        <v/>
      </c>
      <c r="O47">
        <f>IF(D47=1,O46+1,0)</f>
        <v/>
      </c>
      <c r="P47">
        <f>IF(E47=1,P46+1,0)</f>
        <v/>
      </c>
      <c r="Q47">
        <f>IF(F47=1,Q46+1,0)</f>
        <v/>
      </c>
      <c r="R47">
        <f>IF(G47=1,R46+1,0)</f>
        <v/>
      </c>
      <c r="S47">
        <f>IF(H47=1,S46+1,0)</f>
        <v/>
      </c>
      <c r="T47">
        <f>IF(I47=1,T46+1,0)</f>
        <v/>
      </c>
      <c r="U47">
        <f>IF(J47=1,U46+1,0)</f>
        <v/>
      </c>
      <c r="V47">
        <f>IF(K47=1,V46+1,0)</f>
        <v/>
      </c>
      <c r="W47">
        <f>IF(L47=1,W46+1,0)</f>
        <v/>
      </c>
      <c r="X47">
        <f>IF(M47=1,X46+1,0)</f>
        <v/>
      </c>
    </row>
    <row r="48">
      <c r="A48" s="58">
        <f>'Start Here'!$E$6+45</f>
        <v/>
      </c>
      <c r="B48" t="n">
        <v>7</v>
      </c>
      <c r="C48" t="inlineStr">
        <is>
          <t>THU</t>
        </is>
      </c>
      <c r="D48">
        <f>IF(AND(W07!F9&lt;&gt;"",W07!F9&lt;&gt;"✗"),1,0)</f>
        <v/>
      </c>
      <c r="E48">
        <f>IF(AND(W07!F10&lt;&gt;"",W07!F10&lt;&gt;"✗"),1,0)</f>
        <v/>
      </c>
      <c r="F48">
        <f>IF(AND(W07!F11&lt;&gt;"",W07!F11&lt;&gt;"✗"),1,0)</f>
        <v/>
      </c>
      <c r="G48">
        <f>IF(AND(W07!F12&lt;&gt;"",W07!F12&lt;&gt;"✗"),1,0)</f>
        <v/>
      </c>
      <c r="H48">
        <f>IF(AND(W07!F13&lt;&gt;"",W07!F13&lt;&gt;"✗"),1,0)</f>
        <v/>
      </c>
      <c r="I48">
        <f>IF(AND(W07!F14&lt;&gt;"",W07!F14&lt;&gt;"✗"),1,0)</f>
        <v/>
      </c>
      <c r="J48">
        <f>IF(AND(W07!F15&lt;&gt;"",W07!F15&lt;&gt;"✗"),1,0)</f>
        <v/>
      </c>
      <c r="K48">
        <f>IF(AND(W07!F16&lt;&gt;"",W07!F16&lt;&gt;"✗"),1,0)</f>
        <v/>
      </c>
      <c r="L48">
        <f>IF(AND(W07!F17&lt;&gt;"",W07!F17&lt;&gt;"✗"),1,0)</f>
        <v/>
      </c>
      <c r="M48">
        <f>IF(AND(W07!F18&lt;&gt;"",W07!F18&lt;&gt;"✗"),1,0)</f>
        <v/>
      </c>
      <c r="O48">
        <f>IF(D48=1,O47+1,0)</f>
        <v/>
      </c>
      <c r="P48">
        <f>IF(E48=1,P47+1,0)</f>
        <v/>
      </c>
      <c r="Q48">
        <f>IF(F48=1,Q47+1,0)</f>
        <v/>
      </c>
      <c r="R48">
        <f>IF(G48=1,R47+1,0)</f>
        <v/>
      </c>
      <c r="S48">
        <f>IF(H48=1,S47+1,0)</f>
        <v/>
      </c>
      <c r="T48">
        <f>IF(I48=1,T47+1,0)</f>
        <v/>
      </c>
      <c r="U48">
        <f>IF(J48=1,U47+1,0)</f>
        <v/>
      </c>
      <c r="V48">
        <f>IF(K48=1,V47+1,0)</f>
        <v/>
      </c>
      <c r="W48">
        <f>IF(L48=1,W47+1,0)</f>
        <v/>
      </c>
      <c r="X48">
        <f>IF(M48=1,X47+1,0)</f>
        <v/>
      </c>
    </row>
    <row r="49">
      <c r="A49" s="58">
        <f>'Start Here'!$E$6+46</f>
        <v/>
      </c>
      <c r="B49" t="n">
        <v>7</v>
      </c>
      <c r="C49" t="inlineStr">
        <is>
          <t>FRI</t>
        </is>
      </c>
      <c r="D49">
        <f>IF(AND(W07!G9&lt;&gt;"",W07!G9&lt;&gt;"✗"),1,0)</f>
        <v/>
      </c>
      <c r="E49">
        <f>IF(AND(W07!G10&lt;&gt;"",W07!G10&lt;&gt;"✗"),1,0)</f>
        <v/>
      </c>
      <c r="F49">
        <f>IF(AND(W07!G11&lt;&gt;"",W07!G11&lt;&gt;"✗"),1,0)</f>
        <v/>
      </c>
      <c r="G49">
        <f>IF(AND(W07!G12&lt;&gt;"",W07!G12&lt;&gt;"✗"),1,0)</f>
        <v/>
      </c>
      <c r="H49">
        <f>IF(AND(W07!G13&lt;&gt;"",W07!G13&lt;&gt;"✗"),1,0)</f>
        <v/>
      </c>
      <c r="I49">
        <f>IF(AND(W07!G14&lt;&gt;"",W07!G14&lt;&gt;"✗"),1,0)</f>
        <v/>
      </c>
      <c r="J49">
        <f>IF(AND(W07!G15&lt;&gt;"",W07!G15&lt;&gt;"✗"),1,0)</f>
        <v/>
      </c>
      <c r="K49">
        <f>IF(AND(W07!G16&lt;&gt;"",W07!G16&lt;&gt;"✗"),1,0)</f>
        <v/>
      </c>
      <c r="L49">
        <f>IF(AND(W07!G17&lt;&gt;"",W07!G17&lt;&gt;"✗"),1,0)</f>
        <v/>
      </c>
      <c r="M49">
        <f>IF(AND(W07!G18&lt;&gt;"",W07!G18&lt;&gt;"✗"),1,0)</f>
        <v/>
      </c>
      <c r="O49">
        <f>IF(D49=1,O48+1,0)</f>
        <v/>
      </c>
      <c r="P49">
        <f>IF(E49=1,P48+1,0)</f>
        <v/>
      </c>
      <c r="Q49">
        <f>IF(F49=1,Q48+1,0)</f>
        <v/>
      </c>
      <c r="R49">
        <f>IF(G49=1,R48+1,0)</f>
        <v/>
      </c>
      <c r="S49">
        <f>IF(H49=1,S48+1,0)</f>
        <v/>
      </c>
      <c r="T49">
        <f>IF(I49=1,T48+1,0)</f>
        <v/>
      </c>
      <c r="U49">
        <f>IF(J49=1,U48+1,0)</f>
        <v/>
      </c>
      <c r="V49">
        <f>IF(K49=1,V48+1,0)</f>
        <v/>
      </c>
      <c r="W49">
        <f>IF(L49=1,W48+1,0)</f>
        <v/>
      </c>
      <c r="X49">
        <f>IF(M49=1,X48+1,0)</f>
        <v/>
      </c>
    </row>
    <row r="50">
      <c r="A50" s="58">
        <f>'Start Here'!$E$6+47</f>
        <v/>
      </c>
      <c r="B50" t="n">
        <v>7</v>
      </c>
      <c r="C50" t="inlineStr">
        <is>
          <t>SAT</t>
        </is>
      </c>
      <c r="D50">
        <f>IF(AND(W07!H9&lt;&gt;"",W07!H9&lt;&gt;"✗"),1,0)</f>
        <v/>
      </c>
      <c r="E50">
        <f>IF(AND(W07!H10&lt;&gt;"",W07!H10&lt;&gt;"✗"),1,0)</f>
        <v/>
      </c>
      <c r="F50">
        <f>IF(AND(W07!H11&lt;&gt;"",W07!H11&lt;&gt;"✗"),1,0)</f>
        <v/>
      </c>
      <c r="G50">
        <f>IF(AND(W07!H12&lt;&gt;"",W07!H12&lt;&gt;"✗"),1,0)</f>
        <v/>
      </c>
      <c r="H50">
        <f>IF(AND(W07!H13&lt;&gt;"",W07!H13&lt;&gt;"✗"),1,0)</f>
        <v/>
      </c>
      <c r="I50">
        <f>IF(AND(W07!H14&lt;&gt;"",W07!H14&lt;&gt;"✗"),1,0)</f>
        <v/>
      </c>
      <c r="J50">
        <f>IF(AND(W07!H15&lt;&gt;"",W07!H15&lt;&gt;"✗"),1,0)</f>
        <v/>
      </c>
      <c r="K50">
        <f>IF(AND(W07!H16&lt;&gt;"",W07!H16&lt;&gt;"✗"),1,0)</f>
        <v/>
      </c>
      <c r="L50">
        <f>IF(AND(W07!H17&lt;&gt;"",W07!H17&lt;&gt;"✗"),1,0)</f>
        <v/>
      </c>
      <c r="M50">
        <f>IF(AND(W07!H18&lt;&gt;"",W07!H18&lt;&gt;"✗"),1,0)</f>
        <v/>
      </c>
      <c r="O50">
        <f>IF(D50=1,O49+1,0)</f>
        <v/>
      </c>
      <c r="P50">
        <f>IF(E50=1,P49+1,0)</f>
        <v/>
      </c>
      <c r="Q50">
        <f>IF(F50=1,Q49+1,0)</f>
        <v/>
      </c>
      <c r="R50">
        <f>IF(G50=1,R49+1,0)</f>
        <v/>
      </c>
      <c r="S50">
        <f>IF(H50=1,S49+1,0)</f>
        <v/>
      </c>
      <c r="T50">
        <f>IF(I50=1,T49+1,0)</f>
        <v/>
      </c>
      <c r="U50">
        <f>IF(J50=1,U49+1,0)</f>
        <v/>
      </c>
      <c r="V50">
        <f>IF(K50=1,V49+1,0)</f>
        <v/>
      </c>
      <c r="W50">
        <f>IF(L50=1,W49+1,0)</f>
        <v/>
      </c>
      <c r="X50">
        <f>IF(M50=1,X49+1,0)</f>
        <v/>
      </c>
    </row>
    <row r="51">
      <c r="A51" s="58">
        <f>'Start Here'!$E$6+48</f>
        <v/>
      </c>
      <c r="B51" t="n">
        <v>7</v>
      </c>
      <c r="C51" t="inlineStr">
        <is>
          <t>SUN</t>
        </is>
      </c>
      <c r="D51">
        <f>IF(AND(W07!I9&lt;&gt;"",W07!I9&lt;&gt;"✗"),1,0)</f>
        <v/>
      </c>
      <c r="E51">
        <f>IF(AND(W07!I10&lt;&gt;"",W07!I10&lt;&gt;"✗"),1,0)</f>
        <v/>
      </c>
      <c r="F51">
        <f>IF(AND(W07!I11&lt;&gt;"",W07!I11&lt;&gt;"✗"),1,0)</f>
        <v/>
      </c>
      <c r="G51">
        <f>IF(AND(W07!I12&lt;&gt;"",W07!I12&lt;&gt;"✗"),1,0)</f>
        <v/>
      </c>
      <c r="H51">
        <f>IF(AND(W07!I13&lt;&gt;"",W07!I13&lt;&gt;"✗"),1,0)</f>
        <v/>
      </c>
      <c r="I51">
        <f>IF(AND(W07!I14&lt;&gt;"",W07!I14&lt;&gt;"✗"),1,0)</f>
        <v/>
      </c>
      <c r="J51">
        <f>IF(AND(W07!I15&lt;&gt;"",W07!I15&lt;&gt;"✗"),1,0)</f>
        <v/>
      </c>
      <c r="K51">
        <f>IF(AND(W07!I16&lt;&gt;"",W07!I16&lt;&gt;"✗"),1,0)</f>
        <v/>
      </c>
      <c r="L51">
        <f>IF(AND(W07!I17&lt;&gt;"",W07!I17&lt;&gt;"✗"),1,0)</f>
        <v/>
      </c>
      <c r="M51">
        <f>IF(AND(W07!I18&lt;&gt;"",W07!I18&lt;&gt;"✗"),1,0)</f>
        <v/>
      </c>
      <c r="O51">
        <f>IF(D51=1,O50+1,0)</f>
        <v/>
      </c>
      <c r="P51">
        <f>IF(E51=1,P50+1,0)</f>
        <v/>
      </c>
      <c r="Q51">
        <f>IF(F51=1,Q50+1,0)</f>
        <v/>
      </c>
      <c r="R51">
        <f>IF(G51=1,R50+1,0)</f>
        <v/>
      </c>
      <c r="S51">
        <f>IF(H51=1,S50+1,0)</f>
        <v/>
      </c>
      <c r="T51">
        <f>IF(I51=1,T50+1,0)</f>
        <v/>
      </c>
      <c r="U51">
        <f>IF(J51=1,U50+1,0)</f>
        <v/>
      </c>
      <c r="V51">
        <f>IF(K51=1,V50+1,0)</f>
        <v/>
      </c>
      <c r="W51">
        <f>IF(L51=1,W50+1,0)</f>
        <v/>
      </c>
      <c r="X51">
        <f>IF(M51=1,X50+1,0)</f>
        <v/>
      </c>
    </row>
    <row r="52">
      <c r="A52" s="58">
        <f>'Start Here'!$E$6+49</f>
        <v/>
      </c>
      <c r="B52" t="n">
        <v>8</v>
      </c>
      <c r="C52" t="inlineStr">
        <is>
          <t>MON</t>
        </is>
      </c>
      <c r="D52">
        <f>IF(AND(W08!C9&lt;&gt;"",W08!C9&lt;&gt;"✗"),1,0)</f>
        <v/>
      </c>
      <c r="E52">
        <f>IF(AND(W08!C10&lt;&gt;"",W08!C10&lt;&gt;"✗"),1,0)</f>
        <v/>
      </c>
      <c r="F52">
        <f>IF(AND(W08!C11&lt;&gt;"",W08!C11&lt;&gt;"✗"),1,0)</f>
        <v/>
      </c>
      <c r="G52">
        <f>IF(AND(W08!C12&lt;&gt;"",W08!C12&lt;&gt;"✗"),1,0)</f>
        <v/>
      </c>
      <c r="H52">
        <f>IF(AND(W08!C13&lt;&gt;"",W08!C13&lt;&gt;"✗"),1,0)</f>
        <v/>
      </c>
      <c r="I52">
        <f>IF(AND(W08!C14&lt;&gt;"",W08!C14&lt;&gt;"✗"),1,0)</f>
        <v/>
      </c>
      <c r="J52">
        <f>IF(AND(W08!C15&lt;&gt;"",W08!C15&lt;&gt;"✗"),1,0)</f>
        <v/>
      </c>
      <c r="K52">
        <f>IF(AND(W08!C16&lt;&gt;"",W08!C16&lt;&gt;"✗"),1,0)</f>
        <v/>
      </c>
      <c r="L52">
        <f>IF(AND(W08!C17&lt;&gt;"",W08!C17&lt;&gt;"✗"),1,0)</f>
        <v/>
      </c>
      <c r="M52">
        <f>IF(AND(W08!C18&lt;&gt;"",W08!C18&lt;&gt;"✗"),1,0)</f>
        <v/>
      </c>
      <c r="O52">
        <f>IF(D52=1,O51+1,0)</f>
        <v/>
      </c>
      <c r="P52">
        <f>IF(E52=1,P51+1,0)</f>
        <v/>
      </c>
      <c r="Q52">
        <f>IF(F52=1,Q51+1,0)</f>
        <v/>
      </c>
      <c r="R52">
        <f>IF(G52=1,R51+1,0)</f>
        <v/>
      </c>
      <c r="S52">
        <f>IF(H52=1,S51+1,0)</f>
        <v/>
      </c>
      <c r="T52">
        <f>IF(I52=1,T51+1,0)</f>
        <v/>
      </c>
      <c r="U52">
        <f>IF(J52=1,U51+1,0)</f>
        <v/>
      </c>
      <c r="V52">
        <f>IF(K52=1,V51+1,0)</f>
        <v/>
      </c>
      <c r="W52">
        <f>IF(L52=1,W51+1,0)</f>
        <v/>
      </c>
      <c r="X52">
        <f>IF(M52=1,X51+1,0)</f>
        <v/>
      </c>
    </row>
    <row r="53">
      <c r="A53" s="58">
        <f>'Start Here'!$E$6+50</f>
        <v/>
      </c>
      <c r="B53" t="n">
        <v>8</v>
      </c>
      <c r="C53" t="inlineStr">
        <is>
          <t>TUE</t>
        </is>
      </c>
      <c r="D53">
        <f>IF(AND(W08!D9&lt;&gt;"",W08!D9&lt;&gt;"✗"),1,0)</f>
        <v/>
      </c>
      <c r="E53">
        <f>IF(AND(W08!D10&lt;&gt;"",W08!D10&lt;&gt;"✗"),1,0)</f>
        <v/>
      </c>
      <c r="F53">
        <f>IF(AND(W08!D11&lt;&gt;"",W08!D11&lt;&gt;"✗"),1,0)</f>
        <v/>
      </c>
      <c r="G53">
        <f>IF(AND(W08!D12&lt;&gt;"",W08!D12&lt;&gt;"✗"),1,0)</f>
        <v/>
      </c>
      <c r="H53">
        <f>IF(AND(W08!D13&lt;&gt;"",W08!D13&lt;&gt;"✗"),1,0)</f>
        <v/>
      </c>
      <c r="I53">
        <f>IF(AND(W08!D14&lt;&gt;"",W08!D14&lt;&gt;"✗"),1,0)</f>
        <v/>
      </c>
      <c r="J53">
        <f>IF(AND(W08!D15&lt;&gt;"",W08!D15&lt;&gt;"✗"),1,0)</f>
        <v/>
      </c>
      <c r="K53">
        <f>IF(AND(W08!D16&lt;&gt;"",W08!D16&lt;&gt;"✗"),1,0)</f>
        <v/>
      </c>
      <c r="L53">
        <f>IF(AND(W08!D17&lt;&gt;"",W08!D17&lt;&gt;"✗"),1,0)</f>
        <v/>
      </c>
      <c r="M53">
        <f>IF(AND(W08!D18&lt;&gt;"",W08!D18&lt;&gt;"✗"),1,0)</f>
        <v/>
      </c>
      <c r="O53">
        <f>IF(D53=1,O52+1,0)</f>
        <v/>
      </c>
      <c r="P53">
        <f>IF(E53=1,P52+1,0)</f>
        <v/>
      </c>
      <c r="Q53">
        <f>IF(F53=1,Q52+1,0)</f>
        <v/>
      </c>
      <c r="R53">
        <f>IF(G53=1,R52+1,0)</f>
        <v/>
      </c>
      <c r="S53">
        <f>IF(H53=1,S52+1,0)</f>
        <v/>
      </c>
      <c r="T53">
        <f>IF(I53=1,T52+1,0)</f>
        <v/>
      </c>
      <c r="U53">
        <f>IF(J53=1,U52+1,0)</f>
        <v/>
      </c>
      <c r="V53">
        <f>IF(K53=1,V52+1,0)</f>
        <v/>
      </c>
      <c r="W53">
        <f>IF(L53=1,W52+1,0)</f>
        <v/>
      </c>
      <c r="X53">
        <f>IF(M53=1,X52+1,0)</f>
        <v/>
      </c>
    </row>
    <row r="54">
      <c r="A54" s="58">
        <f>'Start Here'!$E$6+51</f>
        <v/>
      </c>
      <c r="B54" t="n">
        <v>8</v>
      </c>
      <c r="C54" t="inlineStr">
        <is>
          <t>WED</t>
        </is>
      </c>
      <c r="D54">
        <f>IF(AND(W08!E9&lt;&gt;"",W08!E9&lt;&gt;"✗"),1,0)</f>
        <v/>
      </c>
      <c r="E54">
        <f>IF(AND(W08!E10&lt;&gt;"",W08!E10&lt;&gt;"✗"),1,0)</f>
        <v/>
      </c>
      <c r="F54">
        <f>IF(AND(W08!E11&lt;&gt;"",W08!E11&lt;&gt;"✗"),1,0)</f>
        <v/>
      </c>
      <c r="G54">
        <f>IF(AND(W08!E12&lt;&gt;"",W08!E12&lt;&gt;"✗"),1,0)</f>
        <v/>
      </c>
      <c r="H54">
        <f>IF(AND(W08!E13&lt;&gt;"",W08!E13&lt;&gt;"✗"),1,0)</f>
        <v/>
      </c>
      <c r="I54">
        <f>IF(AND(W08!E14&lt;&gt;"",W08!E14&lt;&gt;"✗"),1,0)</f>
        <v/>
      </c>
      <c r="J54">
        <f>IF(AND(W08!E15&lt;&gt;"",W08!E15&lt;&gt;"✗"),1,0)</f>
        <v/>
      </c>
      <c r="K54">
        <f>IF(AND(W08!E16&lt;&gt;"",W08!E16&lt;&gt;"✗"),1,0)</f>
        <v/>
      </c>
      <c r="L54">
        <f>IF(AND(W08!E17&lt;&gt;"",W08!E17&lt;&gt;"✗"),1,0)</f>
        <v/>
      </c>
      <c r="M54">
        <f>IF(AND(W08!E18&lt;&gt;"",W08!E18&lt;&gt;"✗"),1,0)</f>
        <v/>
      </c>
      <c r="O54">
        <f>IF(D54=1,O53+1,0)</f>
        <v/>
      </c>
      <c r="P54">
        <f>IF(E54=1,P53+1,0)</f>
        <v/>
      </c>
      <c r="Q54">
        <f>IF(F54=1,Q53+1,0)</f>
        <v/>
      </c>
      <c r="R54">
        <f>IF(G54=1,R53+1,0)</f>
        <v/>
      </c>
      <c r="S54">
        <f>IF(H54=1,S53+1,0)</f>
        <v/>
      </c>
      <c r="T54">
        <f>IF(I54=1,T53+1,0)</f>
        <v/>
      </c>
      <c r="U54">
        <f>IF(J54=1,U53+1,0)</f>
        <v/>
      </c>
      <c r="V54">
        <f>IF(K54=1,V53+1,0)</f>
        <v/>
      </c>
      <c r="W54">
        <f>IF(L54=1,W53+1,0)</f>
        <v/>
      </c>
      <c r="X54">
        <f>IF(M54=1,X53+1,0)</f>
        <v/>
      </c>
    </row>
    <row r="55">
      <c r="A55" s="58">
        <f>'Start Here'!$E$6+52</f>
        <v/>
      </c>
      <c r="B55" t="n">
        <v>8</v>
      </c>
      <c r="C55" t="inlineStr">
        <is>
          <t>THU</t>
        </is>
      </c>
      <c r="D55">
        <f>IF(AND(W08!F9&lt;&gt;"",W08!F9&lt;&gt;"✗"),1,0)</f>
        <v/>
      </c>
      <c r="E55">
        <f>IF(AND(W08!F10&lt;&gt;"",W08!F10&lt;&gt;"✗"),1,0)</f>
        <v/>
      </c>
      <c r="F55">
        <f>IF(AND(W08!F11&lt;&gt;"",W08!F11&lt;&gt;"✗"),1,0)</f>
        <v/>
      </c>
      <c r="G55">
        <f>IF(AND(W08!F12&lt;&gt;"",W08!F12&lt;&gt;"✗"),1,0)</f>
        <v/>
      </c>
      <c r="H55">
        <f>IF(AND(W08!F13&lt;&gt;"",W08!F13&lt;&gt;"✗"),1,0)</f>
        <v/>
      </c>
      <c r="I55">
        <f>IF(AND(W08!F14&lt;&gt;"",W08!F14&lt;&gt;"✗"),1,0)</f>
        <v/>
      </c>
      <c r="J55">
        <f>IF(AND(W08!F15&lt;&gt;"",W08!F15&lt;&gt;"✗"),1,0)</f>
        <v/>
      </c>
      <c r="K55">
        <f>IF(AND(W08!F16&lt;&gt;"",W08!F16&lt;&gt;"✗"),1,0)</f>
        <v/>
      </c>
      <c r="L55">
        <f>IF(AND(W08!F17&lt;&gt;"",W08!F17&lt;&gt;"✗"),1,0)</f>
        <v/>
      </c>
      <c r="M55">
        <f>IF(AND(W08!F18&lt;&gt;"",W08!F18&lt;&gt;"✗"),1,0)</f>
        <v/>
      </c>
      <c r="O55">
        <f>IF(D55=1,O54+1,0)</f>
        <v/>
      </c>
      <c r="P55">
        <f>IF(E55=1,P54+1,0)</f>
        <v/>
      </c>
      <c r="Q55">
        <f>IF(F55=1,Q54+1,0)</f>
        <v/>
      </c>
      <c r="R55">
        <f>IF(G55=1,R54+1,0)</f>
        <v/>
      </c>
      <c r="S55">
        <f>IF(H55=1,S54+1,0)</f>
        <v/>
      </c>
      <c r="T55">
        <f>IF(I55=1,T54+1,0)</f>
        <v/>
      </c>
      <c r="U55">
        <f>IF(J55=1,U54+1,0)</f>
        <v/>
      </c>
      <c r="V55">
        <f>IF(K55=1,V54+1,0)</f>
        <v/>
      </c>
      <c r="W55">
        <f>IF(L55=1,W54+1,0)</f>
        <v/>
      </c>
      <c r="X55">
        <f>IF(M55=1,X54+1,0)</f>
        <v/>
      </c>
    </row>
    <row r="56">
      <c r="A56" s="58">
        <f>'Start Here'!$E$6+53</f>
        <v/>
      </c>
      <c r="B56" t="n">
        <v>8</v>
      </c>
      <c r="C56" t="inlineStr">
        <is>
          <t>FRI</t>
        </is>
      </c>
      <c r="D56">
        <f>IF(AND(W08!G9&lt;&gt;"",W08!G9&lt;&gt;"✗"),1,0)</f>
        <v/>
      </c>
      <c r="E56">
        <f>IF(AND(W08!G10&lt;&gt;"",W08!G10&lt;&gt;"✗"),1,0)</f>
        <v/>
      </c>
      <c r="F56">
        <f>IF(AND(W08!G11&lt;&gt;"",W08!G11&lt;&gt;"✗"),1,0)</f>
        <v/>
      </c>
      <c r="G56">
        <f>IF(AND(W08!G12&lt;&gt;"",W08!G12&lt;&gt;"✗"),1,0)</f>
        <v/>
      </c>
      <c r="H56">
        <f>IF(AND(W08!G13&lt;&gt;"",W08!G13&lt;&gt;"✗"),1,0)</f>
        <v/>
      </c>
      <c r="I56">
        <f>IF(AND(W08!G14&lt;&gt;"",W08!G14&lt;&gt;"✗"),1,0)</f>
        <v/>
      </c>
      <c r="J56">
        <f>IF(AND(W08!G15&lt;&gt;"",W08!G15&lt;&gt;"✗"),1,0)</f>
        <v/>
      </c>
      <c r="K56">
        <f>IF(AND(W08!G16&lt;&gt;"",W08!G16&lt;&gt;"✗"),1,0)</f>
        <v/>
      </c>
      <c r="L56">
        <f>IF(AND(W08!G17&lt;&gt;"",W08!G17&lt;&gt;"✗"),1,0)</f>
        <v/>
      </c>
      <c r="M56">
        <f>IF(AND(W08!G18&lt;&gt;"",W08!G18&lt;&gt;"✗"),1,0)</f>
        <v/>
      </c>
      <c r="O56">
        <f>IF(D56=1,O55+1,0)</f>
        <v/>
      </c>
      <c r="P56">
        <f>IF(E56=1,P55+1,0)</f>
        <v/>
      </c>
      <c r="Q56">
        <f>IF(F56=1,Q55+1,0)</f>
        <v/>
      </c>
      <c r="R56">
        <f>IF(G56=1,R55+1,0)</f>
        <v/>
      </c>
      <c r="S56">
        <f>IF(H56=1,S55+1,0)</f>
        <v/>
      </c>
      <c r="T56">
        <f>IF(I56=1,T55+1,0)</f>
        <v/>
      </c>
      <c r="U56">
        <f>IF(J56=1,U55+1,0)</f>
        <v/>
      </c>
      <c r="V56">
        <f>IF(K56=1,V55+1,0)</f>
        <v/>
      </c>
      <c r="W56">
        <f>IF(L56=1,W55+1,0)</f>
        <v/>
      </c>
      <c r="X56">
        <f>IF(M56=1,X55+1,0)</f>
        <v/>
      </c>
    </row>
    <row r="57">
      <c r="A57" s="58">
        <f>'Start Here'!$E$6+54</f>
        <v/>
      </c>
      <c r="B57" t="n">
        <v>8</v>
      </c>
      <c r="C57" t="inlineStr">
        <is>
          <t>SAT</t>
        </is>
      </c>
      <c r="D57">
        <f>IF(AND(W08!H9&lt;&gt;"",W08!H9&lt;&gt;"✗"),1,0)</f>
        <v/>
      </c>
      <c r="E57">
        <f>IF(AND(W08!H10&lt;&gt;"",W08!H10&lt;&gt;"✗"),1,0)</f>
        <v/>
      </c>
      <c r="F57">
        <f>IF(AND(W08!H11&lt;&gt;"",W08!H11&lt;&gt;"✗"),1,0)</f>
        <v/>
      </c>
      <c r="G57">
        <f>IF(AND(W08!H12&lt;&gt;"",W08!H12&lt;&gt;"✗"),1,0)</f>
        <v/>
      </c>
      <c r="H57">
        <f>IF(AND(W08!H13&lt;&gt;"",W08!H13&lt;&gt;"✗"),1,0)</f>
        <v/>
      </c>
      <c r="I57">
        <f>IF(AND(W08!H14&lt;&gt;"",W08!H14&lt;&gt;"✗"),1,0)</f>
        <v/>
      </c>
      <c r="J57">
        <f>IF(AND(W08!H15&lt;&gt;"",W08!H15&lt;&gt;"✗"),1,0)</f>
        <v/>
      </c>
      <c r="K57">
        <f>IF(AND(W08!H16&lt;&gt;"",W08!H16&lt;&gt;"✗"),1,0)</f>
        <v/>
      </c>
      <c r="L57">
        <f>IF(AND(W08!H17&lt;&gt;"",W08!H17&lt;&gt;"✗"),1,0)</f>
        <v/>
      </c>
      <c r="M57">
        <f>IF(AND(W08!H18&lt;&gt;"",W08!H18&lt;&gt;"✗"),1,0)</f>
        <v/>
      </c>
      <c r="O57">
        <f>IF(D57=1,O56+1,0)</f>
        <v/>
      </c>
      <c r="P57">
        <f>IF(E57=1,P56+1,0)</f>
        <v/>
      </c>
      <c r="Q57">
        <f>IF(F57=1,Q56+1,0)</f>
        <v/>
      </c>
      <c r="R57">
        <f>IF(G57=1,R56+1,0)</f>
        <v/>
      </c>
      <c r="S57">
        <f>IF(H57=1,S56+1,0)</f>
        <v/>
      </c>
      <c r="T57">
        <f>IF(I57=1,T56+1,0)</f>
        <v/>
      </c>
      <c r="U57">
        <f>IF(J57=1,U56+1,0)</f>
        <v/>
      </c>
      <c r="V57">
        <f>IF(K57=1,V56+1,0)</f>
        <v/>
      </c>
      <c r="W57">
        <f>IF(L57=1,W56+1,0)</f>
        <v/>
      </c>
      <c r="X57">
        <f>IF(M57=1,X56+1,0)</f>
        <v/>
      </c>
    </row>
    <row r="58">
      <c r="A58" s="58">
        <f>'Start Here'!$E$6+55</f>
        <v/>
      </c>
      <c r="B58" t="n">
        <v>8</v>
      </c>
      <c r="C58" t="inlineStr">
        <is>
          <t>SUN</t>
        </is>
      </c>
      <c r="D58">
        <f>IF(AND(W08!I9&lt;&gt;"",W08!I9&lt;&gt;"✗"),1,0)</f>
        <v/>
      </c>
      <c r="E58">
        <f>IF(AND(W08!I10&lt;&gt;"",W08!I10&lt;&gt;"✗"),1,0)</f>
        <v/>
      </c>
      <c r="F58">
        <f>IF(AND(W08!I11&lt;&gt;"",W08!I11&lt;&gt;"✗"),1,0)</f>
        <v/>
      </c>
      <c r="G58">
        <f>IF(AND(W08!I12&lt;&gt;"",W08!I12&lt;&gt;"✗"),1,0)</f>
        <v/>
      </c>
      <c r="H58">
        <f>IF(AND(W08!I13&lt;&gt;"",W08!I13&lt;&gt;"✗"),1,0)</f>
        <v/>
      </c>
      <c r="I58">
        <f>IF(AND(W08!I14&lt;&gt;"",W08!I14&lt;&gt;"✗"),1,0)</f>
        <v/>
      </c>
      <c r="J58">
        <f>IF(AND(W08!I15&lt;&gt;"",W08!I15&lt;&gt;"✗"),1,0)</f>
        <v/>
      </c>
      <c r="K58">
        <f>IF(AND(W08!I16&lt;&gt;"",W08!I16&lt;&gt;"✗"),1,0)</f>
        <v/>
      </c>
      <c r="L58">
        <f>IF(AND(W08!I17&lt;&gt;"",W08!I17&lt;&gt;"✗"),1,0)</f>
        <v/>
      </c>
      <c r="M58">
        <f>IF(AND(W08!I18&lt;&gt;"",W08!I18&lt;&gt;"✗"),1,0)</f>
        <v/>
      </c>
      <c r="O58">
        <f>IF(D58=1,O57+1,0)</f>
        <v/>
      </c>
      <c r="P58">
        <f>IF(E58=1,P57+1,0)</f>
        <v/>
      </c>
      <c r="Q58">
        <f>IF(F58=1,Q57+1,0)</f>
        <v/>
      </c>
      <c r="R58">
        <f>IF(G58=1,R57+1,0)</f>
        <v/>
      </c>
      <c r="S58">
        <f>IF(H58=1,S57+1,0)</f>
        <v/>
      </c>
      <c r="T58">
        <f>IF(I58=1,T57+1,0)</f>
        <v/>
      </c>
      <c r="U58">
        <f>IF(J58=1,U57+1,0)</f>
        <v/>
      </c>
      <c r="V58">
        <f>IF(K58=1,V57+1,0)</f>
        <v/>
      </c>
      <c r="W58">
        <f>IF(L58=1,W57+1,0)</f>
        <v/>
      </c>
      <c r="X58">
        <f>IF(M58=1,X57+1,0)</f>
        <v/>
      </c>
    </row>
    <row r="59">
      <c r="A59" s="58">
        <f>'Start Here'!$E$6+56</f>
        <v/>
      </c>
      <c r="B59" t="n">
        <v>9</v>
      </c>
      <c r="C59" t="inlineStr">
        <is>
          <t>MON</t>
        </is>
      </c>
      <c r="D59">
        <f>IF(AND(W09!C9&lt;&gt;"",W09!C9&lt;&gt;"✗"),1,0)</f>
        <v/>
      </c>
      <c r="E59">
        <f>IF(AND(W09!C10&lt;&gt;"",W09!C10&lt;&gt;"✗"),1,0)</f>
        <v/>
      </c>
      <c r="F59">
        <f>IF(AND(W09!C11&lt;&gt;"",W09!C11&lt;&gt;"✗"),1,0)</f>
        <v/>
      </c>
      <c r="G59">
        <f>IF(AND(W09!C12&lt;&gt;"",W09!C12&lt;&gt;"✗"),1,0)</f>
        <v/>
      </c>
      <c r="H59">
        <f>IF(AND(W09!C13&lt;&gt;"",W09!C13&lt;&gt;"✗"),1,0)</f>
        <v/>
      </c>
      <c r="I59">
        <f>IF(AND(W09!C14&lt;&gt;"",W09!C14&lt;&gt;"✗"),1,0)</f>
        <v/>
      </c>
      <c r="J59">
        <f>IF(AND(W09!C15&lt;&gt;"",W09!C15&lt;&gt;"✗"),1,0)</f>
        <v/>
      </c>
      <c r="K59">
        <f>IF(AND(W09!C16&lt;&gt;"",W09!C16&lt;&gt;"✗"),1,0)</f>
        <v/>
      </c>
      <c r="L59">
        <f>IF(AND(W09!C17&lt;&gt;"",W09!C17&lt;&gt;"✗"),1,0)</f>
        <v/>
      </c>
      <c r="M59">
        <f>IF(AND(W09!C18&lt;&gt;"",W09!C18&lt;&gt;"✗"),1,0)</f>
        <v/>
      </c>
      <c r="O59">
        <f>IF(D59=1,O58+1,0)</f>
        <v/>
      </c>
      <c r="P59">
        <f>IF(E59=1,P58+1,0)</f>
        <v/>
      </c>
      <c r="Q59">
        <f>IF(F59=1,Q58+1,0)</f>
        <v/>
      </c>
      <c r="R59">
        <f>IF(G59=1,R58+1,0)</f>
        <v/>
      </c>
      <c r="S59">
        <f>IF(H59=1,S58+1,0)</f>
        <v/>
      </c>
      <c r="T59">
        <f>IF(I59=1,T58+1,0)</f>
        <v/>
      </c>
      <c r="U59">
        <f>IF(J59=1,U58+1,0)</f>
        <v/>
      </c>
      <c r="V59">
        <f>IF(K59=1,V58+1,0)</f>
        <v/>
      </c>
      <c r="W59">
        <f>IF(L59=1,W58+1,0)</f>
        <v/>
      </c>
      <c r="X59">
        <f>IF(M59=1,X58+1,0)</f>
        <v/>
      </c>
    </row>
    <row r="60">
      <c r="A60" s="58">
        <f>'Start Here'!$E$6+57</f>
        <v/>
      </c>
      <c r="B60" t="n">
        <v>9</v>
      </c>
      <c r="C60" t="inlineStr">
        <is>
          <t>TUE</t>
        </is>
      </c>
      <c r="D60">
        <f>IF(AND(W09!D9&lt;&gt;"",W09!D9&lt;&gt;"✗"),1,0)</f>
        <v/>
      </c>
      <c r="E60">
        <f>IF(AND(W09!D10&lt;&gt;"",W09!D10&lt;&gt;"✗"),1,0)</f>
        <v/>
      </c>
      <c r="F60">
        <f>IF(AND(W09!D11&lt;&gt;"",W09!D11&lt;&gt;"✗"),1,0)</f>
        <v/>
      </c>
      <c r="G60">
        <f>IF(AND(W09!D12&lt;&gt;"",W09!D12&lt;&gt;"✗"),1,0)</f>
        <v/>
      </c>
      <c r="H60">
        <f>IF(AND(W09!D13&lt;&gt;"",W09!D13&lt;&gt;"✗"),1,0)</f>
        <v/>
      </c>
      <c r="I60">
        <f>IF(AND(W09!D14&lt;&gt;"",W09!D14&lt;&gt;"✗"),1,0)</f>
        <v/>
      </c>
      <c r="J60">
        <f>IF(AND(W09!D15&lt;&gt;"",W09!D15&lt;&gt;"✗"),1,0)</f>
        <v/>
      </c>
      <c r="K60">
        <f>IF(AND(W09!D16&lt;&gt;"",W09!D16&lt;&gt;"✗"),1,0)</f>
        <v/>
      </c>
      <c r="L60">
        <f>IF(AND(W09!D17&lt;&gt;"",W09!D17&lt;&gt;"✗"),1,0)</f>
        <v/>
      </c>
      <c r="M60">
        <f>IF(AND(W09!D18&lt;&gt;"",W09!D18&lt;&gt;"✗"),1,0)</f>
        <v/>
      </c>
      <c r="O60">
        <f>IF(D60=1,O59+1,0)</f>
        <v/>
      </c>
      <c r="P60">
        <f>IF(E60=1,P59+1,0)</f>
        <v/>
      </c>
      <c r="Q60">
        <f>IF(F60=1,Q59+1,0)</f>
        <v/>
      </c>
      <c r="R60">
        <f>IF(G60=1,R59+1,0)</f>
        <v/>
      </c>
      <c r="S60">
        <f>IF(H60=1,S59+1,0)</f>
        <v/>
      </c>
      <c r="T60">
        <f>IF(I60=1,T59+1,0)</f>
        <v/>
      </c>
      <c r="U60">
        <f>IF(J60=1,U59+1,0)</f>
        <v/>
      </c>
      <c r="V60">
        <f>IF(K60=1,V59+1,0)</f>
        <v/>
      </c>
      <c r="W60">
        <f>IF(L60=1,W59+1,0)</f>
        <v/>
      </c>
      <c r="X60">
        <f>IF(M60=1,X59+1,0)</f>
        <v/>
      </c>
    </row>
    <row r="61">
      <c r="A61" s="58">
        <f>'Start Here'!$E$6+58</f>
        <v/>
      </c>
      <c r="B61" t="n">
        <v>9</v>
      </c>
      <c r="C61" t="inlineStr">
        <is>
          <t>WED</t>
        </is>
      </c>
      <c r="D61">
        <f>IF(AND(W09!E9&lt;&gt;"",W09!E9&lt;&gt;"✗"),1,0)</f>
        <v/>
      </c>
      <c r="E61">
        <f>IF(AND(W09!E10&lt;&gt;"",W09!E10&lt;&gt;"✗"),1,0)</f>
        <v/>
      </c>
      <c r="F61">
        <f>IF(AND(W09!E11&lt;&gt;"",W09!E11&lt;&gt;"✗"),1,0)</f>
        <v/>
      </c>
      <c r="G61">
        <f>IF(AND(W09!E12&lt;&gt;"",W09!E12&lt;&gt;"✗"),1,0)</f>
        <v/>
      </c>
      <c r="H61">
        <f>IF(AND(W09!E13&lt;&gt;"",W09!E13&lt;&gt;"✗"),1,0)</f>
        <v/>
      </c>
      <c r="I61">
        <f>IF(AND(W09!E14&lt;&gt;"",W09!E14&lt;&gt;"✗"),1,0)</f>
        <v/>
      </c>
      <c r="J61">
        <f>IF(AND(W09!E15&lt;&gt;"",W09!E15&lt;&gt;"✗"),1,0)</f>
        <v/>
      </c>
      <c r="K61">
        <f>IF(AND(W09!E16&lt;&gt;"",W09!E16&lt;&gt;"✗"),1,0)</f>
        <v/>
      </c>
      <c r="L61">
        <f>IF(AND(W09!E17&lt;&gt;"",W09!E17&lt;&gt;"✗"),1,0)</f>
        <v/>
      </c>
      <c r="M61">
        <f>IF(AND(W09!E18&lt;&gt;"",W09!E18&lt;&gt;"✗"),1,0)</f>
        <v/>
      </c>
      <c r="O61">
        <f>IF(D61=1,O60+1,0)</f>
        <v/>
      </c>
      <c r="P61">
        <f>IF(E61=1,P60+1,0)</f>
        <v/>
      </c>
      <c r="Q61">
        <f>IF(F61=1,Q60+1,0)</f>
        <v/>
      </c>
      <c r="R61">
        <f>IF(G61=1,R60+1,0)</f>
        <v/>
      </c>
      <c r="S61">
        <f>IF(H61=1,S60+1,0)</f>
        <v/>
      </c>
      <c r="T61">
        <f>IF(I61=1,T60+1,0)</f>
        <v/>
      </c>
      <c r="U61">
        <f>IF(J61=1,U60+1,0)</f>
        <v/>
      </c>
      <c r="V61">
        <f>IF(K61=1,V60+1,0)</f>
        <v/>
      </c>
      <c r="W61">
        <f>IF(L61=1,W60+1,0)</f>
        <v/>
      </c>
      <c r="X61">
        <f>IF(M61=1,X60+1,0)</f>
        <v/>
      </c>
    </row>
    <row r="62">
      <c r="A62" s="58">
        <f>'Start Here'!$E$6+59</f>
        <v/>
      </c>
      <c r="B62" t="n">
        <v>9</v>
      </c>
      <c r="C62" t="inlineStr">
        <is>
          <t>THU</t>
        </is>
      </c>
      <c r="D62">
        <f>IF(AND(W09!F9&lt;&gt;"",W09!F9&lt;&gt;"✗"),1,0)</f>
        <v/>
      </c>
      <c r="E62">
        <f>IF(AND(W09!F10&lt;&gt;"",W09!F10&lt;&gt;"✗"),1,0)</f>
        <v/>
      </c>
      <c r="F62">
        <f>IF(AND(W09!F11&lt;&gt;"",W09!F11&lt;&gt;"✗"),1,0)</f>
        <v/>
      </c>
      <c r="G62">
        <f>IF(AND(W09!F12&lt;&gt;"",W09!F12&lt;&gt;"✗"),1,0)</f>
        <v/>
      </c>
      <c r="H62">
        <f>IF(AND(W09!F13&lt;&gt;"",W09!F13&lt;&gt;"✗"),1,0)</f>
        <v/>
      </c>
      <c r="I62">
        <f>IF(AND(W09!F14&lt;&gt;"",W09!F14&lt;&gt;"✗"),1,0)</f>
        <v/>
      </c>
      <c r="J62">
        <f>IF(AND(W09!F15&lt;&gt;"",W09!F15&lt;&gt;"✗"),1,0)</f>
        <v/>
      </c>
      <c r="K62">
        <f>IF(AND(W09!F16&lt;&gt;"",W09!F16&lt;&gt;"✗"),1,0)</f>
        <v/>
      </c>
      <c r="L62">
        <f>IF(AND(W09!F17&lt;&gt;"",W09!F17&lt;&gt;"✗"),1,0)</f>
        <v/>
      </c>
      <c r="M62">
        <f>IF(AND(W09!F18&lt;&gt;"",W09!F18&lt;&gt;"✗"),1,0)</f>
        <v/>
      </c>
      <c r="O62">
        <f>IF(D62=1,O61+1,0)</f>
        <v/>
      </c>
      <c r="P62">
        <f>IF(E62=1,P61+1,0)</f>
        <v/>
      </c>
      <c r="Q62">
        <f>IF(F62=1,Q61+1,0)</f>
        <v/>
      </c>
      <c r="R62">
        <f>IF(G62=1,R61+1,0)</f>
        <v/>
      </c>
      <c r="S62">
        <f>IF(H62=1,S61+1,0)</f>
        <v/>
      </c>
      <c r="T62">
        <f>IF(I62=1,T61+1,0)</f>
        <v/>
      </c>
      <c r="U62">
        <f>IF(J62=1,U61+1,0)</f>
        <v/>
      </c>
      <c r="V62">
        <f>IF(K62=1,V61+1,0)</f>
        <v/>
      </c>
      <c r="W62">
        <f>IF(L62=1,W61+1,0)</f>
        <v/>
      </c>
      <c r="X62">
        <f>IF(M62=1,X61+1,0)</f>
        <v/>
      </c>
    </row>
    <row r="63">
      <c r="A63" s="58">
        <f>'Start Here'!$E$6+60</f>
        <v/>
      </c>
      <c r="B63" t="n">
        <v>9</v>
      </c>
      <c r="C63" t="inlineStr">
        <is>
          <t>FRI</t>
        </is>
      </c>
      <c r="D63">
        <f>IF(AND(W09!G9&lt;&gt;"",W09!G9&lt;&gt;"✗"),1,0)</f>
        <v/>
      </c>
      <c r="E63">
        <f>IF(AND(W09!G10&lt;&gt;"",W09!G10&lt;&gt;"✗"),1,0)</f>
        <v/>
      </c>
      <c r="F63">
        <f>IF(AND(W09!G11&lt;&gt;"",W09!G11&lt;&gt;"✗"),1,0)</f>
        <v/>
      </c>
      <c r="G63">
        <f>IF(AND(W09!G12&lt;&gt;"",W09!G12&lt;&gt;"✗"),1,0)</f>
        <v/>
      </c>
      <c r="H63">
        <f>IF(AND(W09!G13&lt;&gt;"",W09!G13&lt;&gt;"✗"),1,0)</f>
        <v/>
      </c>
      <c r="I63">
        <f>IF(AND(W09!G14&lt;&gt;"",W09!G14&lt;&gt;"✗"),1,0)</f>
        <v/>
      </c>
      <c r="J63">
        <f>IF(AND(W09!G15&lt;&gt;"",W09!G15&lt;&gt;"✗"),1,0)</f>
        <v/>
      </c>
      <c r="K63">
        <f>IF(AND(W09!G16&lt;&gt;"",W09!G16&lt;&gt;"✗"),1,0)</f>
        <v/>
      </c>
      <c r="L63">
        <f>IF(AND(W09!G17&lt;&gt;"",W09!G17&lt;&gt;"✗"),1,0)</f>
        <v/>
      </c>
      <c r="M63">
        <f>IF(AND(W09!G18&lt;&gt;"",W09!G18&lt;&gt;"✗"),1,0)</f>
        <v/>
      </c>
      <c r="O63">
        <f>IF(D63=1,O62+1,0)</f>
        <v/>
      </c>
      <c r="P63">
        <f>IF(E63=1,P62+1,0)</f>
        <v/>
      </c>
      <c r="Q63">
        <f>IF(F63=1,Q62+1,0)</f>
        <v/>
      </c>
      <c r="R63">
        <f>IF(G63=1,R62+1,0)</f>
        <v/>
      </c>
      <c r="S63">
        <f>IF(H63=1,S62+1,0)</f>
        <v/>
      </c>
      <c r="T63">
        <f>IF(I63=1,T62+1,0)</f>
        <v/>
      </c>
      <c r="U63">
        <f>IF(J63=1,U62+1,0)</f>
        <v/>
      </c>
      <c r="V63">
        <f>IF(K63=1,V62+1,0)</f>
        <v/>
      </c>
      <c r="W63">
        <f>IF(L63=1,W62+1,0)</f>
        <v/>
      </c>
      <c r="X63">
        <f>IF(M63=1,X62+1,0)</f>
        <v/>
      </c>
    </row>
    <row r="64">
      <c r="A64" s="58">
        <f>'Start Here'!$E$6+61</f>
        <v/>
      </c>
      <c r="B64" t="n">
        <v>9</v>
      </c>
      <c r="C64" t="inlineStr">
        <is>
          <t>SAT</t>
        </is>
      </c>
      <c r="D64">
        <f>IF(AND(W09!H9&lt;&gt;"",W09!H9&lt;&gt;"✗"),1,0)</f>
        <v/>
      </c>
      <c r="E64">
        <f>IF(AND(W09!H10&lt;&gt;"",W09!H10&lt;&gt;"✗"),1,0)</f>
        <v/>
      </c>
      <c r="F64">
        <f>IF(AND(W09!H11&lt;&gt;"",W09!H11&lt;&gt;"✗"),1,0)</f>
        <v/>
      </c>
      <c r="G64">
        <f>IF(AND(W09!H12&lt;&gt;"",W09!H12&lt;&gt;"✗"),1,0)</f>
        <v/>
      </c>
      <c r="H64">
        <f>IF(AND(W09!H13&lt;&gt;"",W09!H13&lt;&gt;"✗"),1,0)</f>
        <v/>
      </c>
      <c r="I64">
        <f>IF(AND(W09!H14&lt;&gt;"",W09!H14&lt;&gt;"✗"),1,0)</f>
        <v/>
      </c>
      <c r="J64">
        <f>IF(AND(W09!H15&lt;&gt;"",W09!H15&lt;&gt;"✗"),1,0)</f>
        <v/>
      </c>
      <c r="K64">
        <f>IF(AND(W09!H16&lt;&gt;"",W09!H16&lt;&gt;"✗"),1,0)</f>
        <v/>
      </c>
      <c r="L64">
        <f>IF(AND(W09!H17&lt;&gt;"",W09!H17&lt;&gt;"✗"),1,0)</f>
        <v/>
      </c>
      <c r="M64">
        <f>IF(AND(W09!H18&lt;&gt;"",W09!H18&lt;&gt;"✗"),1,0)</f>
        <v/>
      </c>
      <c r="O64">
        <f>IF(D64=1,O63+1,0)</f>
        <v/>
      </c>
      <c r="P64">
        <f>IF(E64=1,P63+1,0)</f>
        <v/>
      </c>
      <c r="Q64">
        <f>IF(F64=1,Q63+1,0)</f>
        <v/>
      </c>
      <c r="R64">
        <f>IF(G64=1,R63+1,0)</f>
        <v/>
      </c>
      <c r="S64">
        <f>IF(H64=1,S63+1,0)</f>
        <v/>
      </c>
      <c r="T64">
        <f>IF(I64=1,T63+1,0)</f>
        <v/>
      </c>
      <c r="U64">
        <f>IF(J64=1,U63+1,0)</f>
        <v/>
      </c>
      <c r="V64">
        <f>IF(K64=1,V63+1,0)</f>
        <v/>
      </c>
      <c r="W64">
        <f>IF(L64=1,W63+1,0)</f>
        <v/>
      </c>
      <c r="X64">
        <f>IF(M64=1,X63+1,0)</f>
        <v/>
      </c>
    </row>
    <row r="65">
      <c r="A65" s="58">
        <f>'Start Here'!$E$6+62</f>
        <v/>
      </c>
      <c r="B65" t="n">
        <v>9</v>
      </c>
      <c r="C65" t="inlineStr">
        <is>
          <t>SUN</t>
        </is>
      </c>
      <c r="D65">
        <f>IF(AND(W09!I9&lt;&gt;"",W09!I9&lt;&gt;"✗"),1,0)</f>
        <v/>
      </c>
      <c r="E65">
        <f>IF(AND(W09!I10&lt;&gt;"",W09!I10&lt;&gt;"✗"),1,0)</f>
        <v/>
      </c>
      <c r="F65">
        <f>IF(AND(W09!I11&lt;&gt;"",W09!I11&lt;&gt;"✗"),1,0)</f>
        <v/>
      </c>
      <c r="G65">
        <f>IF(AND(W09!I12&lt;&gt;"",W09!I12&lt;&gt;"✗"),1,0)</f>
        <v/>
      </c>
      <c r="H65">
        <f>IF(AND(W09!I13&lt;&gt;"",W09!I13&lt;&gt;"✗"),1,0)</f>
        <v/>
      </c>
      <c r="I65">
        <f>IF(AND(W09!I14&lt;&gt;"",W09!I14&lt;&gt;"✗"),1,0)</f>
        <v/>
      </c>
      <c r="J65">
        <f>IF(AND(W09!I15&lt;&gt;"",W09!I15&lt;&gt;"✗"),1,0)</f>
        <v/>
      </c>
      <c r="K65">
        <f>IF(AND(W09!I16&lt;&gt;"",W09!I16&lt;&gt;"✗"),1,0)</f>
        <v/>
      </c>
      <c r="L65">
        <f>IF(AND(W09!I17&lt;&gt;"",W09!I17&lt;&gt;"✗"),1,0)</f>
        <v/>
      </c>
      <c r="M65">
        <f>IF(AND(W09!I18&lt;&gt;"",W09!I18&lt;&gt;"✗"),1,0)</f>
        <v/>
      </c>
      <c r="O65">
        <f>IF(D65=1,O64+1,0)</f>
        <v/>
      </c>
      <c r="P65">
        <f>IF(E65=1,P64+1,0)</f>
        <v/>
      </c>
      <c r="Q65">
        <f>IF(F65=1,Q64+1,0)</f>
        <v/>
      </c>
      <c r="R65">
        <f>IF(G65=1,R64+1,0)</f>
        <v/>
      </c>
      <c r="S65">
        <f>IF(H65=1,S64+1,0)</f>
        <v/>
      </c>
      <c r="T65">
        <f>IF(I65=1,T64+1,0)</f>
        <v/>
      </c>
      <c r="U65">
        <f>IF(J65=1,U64+1,0)</f>
        <v/>
      </c>
      <c r="V65">
        <f>IF(K65=1,V64+1,0)</f>
        <v/>
      </c>
      <c r="W65">
        <f>IF(L65=1,W64+1,0)</f>
        <v/>
      </c>
      <c r="X65">
        <f>IF(M65=1,X64+1,0)</f>
        <v/>
      </c>
    </row>
    <row r="66">
      <c r="A66" s="58">
        <f>'Start Here'!$E$6+63</f>
        <v/>
      </c>
      <c r="B66" t="n">
        <v>10</v>
      </c>
      <c r="C66" t="inlineStr">
        <is>
          <t>MON</t>
        </is>
      </c>
      <c r="D66">
        <f>IF(AND(W10!C9&lt;&gt;"",W10!C9&lt;&gt;"✗"),1,0)</f>
        <v/>
      </c>
      <c r="E66">
        <f>IF(AND(W10!C10&lt;&gt;"",W10!C10&lt;&gt;"✗"),1,0)</f>
        <v/>
      </c>
      <c r="F66">
        <f>IF(AND(W10!C11&lt;&gt;"",W10!C11&lt;&gt;"✗"),1,0)</f>
        <v/>
      </c>
      <c r="G66">
        <f>IF(AND(W10!C12&lt;&gt;"",W10!C12&lt;&gt;"✗"),1,0)</f>
        <v/>
      </c>
      <c r="H66">
        <f>IF(AND(W10!C13&lt;&gt;"",W10!C13&lt;&gt;"✗"),1,0)</f>
        <v/>
      </c>
      <c r="I66">
        <f>IF(AND(W10!C14&lt;&gt;"",W10!C14&lt;&gt;"✗"),1,0)</f>
        <v/>
      </c>
      <c r="J66">
        <f>IF(AND(W10!C15&lt;&gt;"",W10!C15&lt;&gt;"✗"),1,0)</f>
        <v/>
      </c>
      <c r="K66">
        <f>IF(AND(W10!C16&lt;&gt;"",W10!C16&lt;&gt;"✗"),1,0)</f>
        <v/>
      </c>
      <c r="L66">
        <f>IF(AND(W10!C17&lt;&gt;"",W10!C17&lt;&gt;"✗"),1,0)</f>
        <v/>
      </c>
      <c r="M66">
        <f>IF(AND(W10!C18&lt;&gt;"",W10!C18&lt;&gt;"✗"),1,0)</f>
        <v/>
      </c>
      <c r="O66">
        <f>IF(D66=1,O65+1,0)</f>
        <v/>
      </c>
      <c r="P66">
        <f>IF(E66=1,P65+1,0)</f>
        <v/>
      </c>
      <c r="Q66">
        <f>IF(F66=1,Q65+1,0)</f>
        <v/>
      </c>
      <c r="R66">
        <f>IF(G66=1,R65+1,0)</f>
        <v/>
      </c>
      <c r="S66">
        <f>IF(H66=1,S65+1,0)</f>
        <v/>
      </c>
      <c r="T66">
        <f>IF(I66=1,T65+1,0)</f>
        <v/>
      </c>
      <c r="U66">
        <f>IF(J66=1,U65+1,0)</f>
        <v/>
      </c>
      <c r="V66">
        <f>IF(K66=1,V65+1,0)</f>
        <v/>
      </c>
      <c r="W66">
        <f>IF(L66=1,W65+1,0)</f>
        <v/>
      </c>
      <c r="X66">
        <f>IF(M66=1,X65+1,0)</f>
        <v/>
      </c>
    </row>
    <row r="67">
      <c r="A67" s="58">
        <f>'Start Here'!$E$6+64</f>
        <v/>
      </c>
      <c r="B67" t="n">
        <v>10</v>
      </c>
      <c r="C67" t="inlineStr">
        <is>
          <t>TUE</t>
        </is>
      </c>
      <c r="D67">
        <f>IF(AND(W10!D9&lt;&gt;"",W10!D9&lt;&gt;"✗"),1,0)</f>
        <v/>
      </c>
      <c r="E67">
        <f>IF(AND(W10!D10&lt;&gt;"",W10!D10&lt;&gt;"✗"),1,0)</f>
        <v/>
      </c>
      <c r="F67">
        <f>IF(AND(W10!D11&lt;&gt;"",W10!D11&lt;&gt;"✗"),1,0)</f>
        <v/>
      </c>
      <c r="G67">
        <f>IF(AND(W10!D12&lt;&gt;"",W10!D12&lt;&gt;"✗"),1,0)</f>
        <v/>
      </c>
      <c r="H67">
        <f>IF(AND(W10!D13&lt;&gt;"",W10!D13&lt;&gt;"✗"),1,0)</f>
        <v/>
      </c>
      <c r="I67">
        <f>IF(AND(W10!D14&lt;&gt;"",W10!D14&lt;&gt;"✗"),1,0)</f>
        <v/>
      </c>
      <c r="J67">
        <f>IF(AND(W10!D15&lt;&gt;"",W10!D15&lt;&gt;"✗"),1,0)</f>
        <v/>
      </c>
      <c r="K67">
        <f>IF(AND(W10!D16&lt;&gt;"",W10!D16&lt;&gt;"✗"),1,0)</f>
        <v/>
      </c>
      <c r="L67">
        <f>IF(AND(W10!D17&lt;&gt;"",W10!D17&lt;&gt;"✗"),1,0)</f>
        <v/>
      </c>
      <c r="M67">
        <f>IF(AND(W10!D18&lt;&gt;"",W10!D18&lt;&gt;"✗"),1,0)</f>
        <v/>
      </c>
      <c r="O67">
        <f>IF(D67=1,O66+1,0)</f>
        <v/>
      </c>
      <c r="P67">
        <f>IF(E67=1,P66+1,0)</f>
        <v/>
      </c>
      <c r="Q67">
        <f>IF(F67=1,Q66+1,0)</f>
        <v/>
      </c>
      <c r="R67">
        <f>IF(G67=1,R66+1,0)</f>
        <v/>
      </c>
      <c r="S67">
        <f>IF(H67=1,S66+1,0)</f>
        <v/>
      </c>
      <c r="T67">
        <f>IF(I67=1,T66+1,0)</f>
        <v/>
      </c>
      <c r="U67">
        <f>IF(J67=1,U66+1,0)</f>
        <v/>
      </c>
      <c r="V67">
        <f>IF(K67=1,V66+1,0)</f>
        <v/>
      </c>
      <c r="W67">
        <f>IF(L67=1,W66+1,0)</f>
        <v/>
      </c>
      <c r="X67">
        <f>IF(M67=1,X66+1,0)</f>
        <v/>
      </c>
    </row>
    <row r="68">
      <c r="A68" s="58">
        <f>'Start Here'!$E$6+65</f>
        <v/>
      </c>
      <c r="B68" t="n">
        <v>10</v>
      </c>
      <c r="C68" t="inlineStr">
        <is>
          <t>WED</t>
        </is>
      </c>
      <c r="D68">
        <f>IF(AND(W10!E9&lt;&gt;"",W10!E9&lt;&gt;"✗"),1,0)</f>
        <v/>
      </c>
      <c r="E68">
        <f>IF(AND(W10!E10&lt;&gt;"",W10!E10&lt;&gt;"✗"),1,0)</f>
        <v/>
      </c>
      <c r="F68">
        <f>IF(AND(W10!E11&lt;&gt;"",W10!E11&lt;&gt;"✗"),1,0)</f>
        <v/>
      </c>
      <c r="G68">
        <f>IF(AND(W10!E12&lt;&gt;"",W10!E12&lt;&gt;"✗"),1,0)</f>
        <v/>
      </c>
      <c r="H68">
        <f>IF(AND(W10!E13&lt;&gt;"",W10!E13&lt;&gt;"✗"),1,0)</f>
        <v/>
      </c>
      <c r="I68">
        <f>IF(AND(W10!E14&lt;&gt;"",W10!E14&lt;&gt;"✗"),1,0)</f>
        <v/>
      </c>
      <c r="J68">
        <f>IF(AND(W10!E15&lt;&gt;"",W10!E15&lt;&gt;"✗"),1,0)</f>
        <v/>
      </c>
      <c r="K68">
        <f>IF(AND(W10!E16&lt;&gt;"",W10!E16&lt;&gt;"✗"),1,0)</f>
        <v/>
      </c>
      <c r="L68">
        <f>IF(AND(W10!E17&lt;&gt;"",W10!E17&lt;&gt;"✗"),1,0)</f>
        <v/>
      </c>
      <c r="M68">
        <f>IF(AND(W10!E18&lt;&gt;"",W10!E18&lt;&gt;"✗"),1,0)</f>
        <v/>
      </c>
      <c r="O68">
        <f>IF(D68=1,O67+1,0)</f>
        <v/>
      </c>
      <c r="P68">
        <f>IF(E68=1,P67+1,0)</f>
        <v/>
      </c>
      <c r="Q68">
        <f>IF(F68=1,Q67+1,0)</f>
        <v/>
      </c>
      <c r="R68">
        <f>IF(G68=1,R67+1,0)</f>
        <v/>
      </c>
      <c r="S68">
        <f>IF(H68=1,S67+1,0)</f>
        <v/>
      </c>
      <c r="T68">
        <f>IF(I68=1,T67+1,0)</f>
        <v/>
      </c>
      <c r="U68">
        <f>IF(J68=1,U67+1,0)</f>
        <v/>
      </c>
      <c r="V68">
        <f>IF(K68=1,V67+1,0)</f>
        <v/>
      </c>
      <c r="W68">
        <f>IF(L68=1,W67+1,0)</f>
        <v/>
      </c>
      <c r="X68">
        <f>IF(M68=1,X67+1,0)</f>
        <v/>
      </c>
    </row>
    <row r="69">
      <c r="A69" s="58">
        <f>'Start Here'!$E$6+66</f>
        <v/>
      </c>
      <c r="B69" t="n">
        <v>10</v>
      </c>
      <c r="C69" t="inlineStr">
        <is>
          <t>THU</t>
        </is>
      </c>
      <c r="D69">
        <f>IF(AND(W10!F9&lt;&gt;"",W10!F9&lt;&gt;"✗"),1,0)</f>
        <v/>
      </c>
      <c r="E69">
        <f>IF(AND(W10!F10&lt;&gt;"",W10!F10&lt;&gt;"✗"),1,0)</f>
        <v/>
      </c>
      <c r="F69">
        <f>IF(AND(W10!F11&lt;&gt;"",W10!F11&lt;&gt;"✗"),1,0)</f>
        <v/>
      </c>
      <c r="G69">
        <f>IF(AND(W10!F12&lt;&gt;"",W10!F12&lt;&gt;"✗"),1,0)</f>
        <v/>
      </c>
      <c r="H69">
        <f>IF(AND(W10!F13&lt;&gt;"",W10!F13&lt;&gt;"✗"),1,0)</f>
        <v/>
      </c>
      <c r="I69">
        <f>IF(AND(W10!F14&lt;&gt;"",W10!F14&lt;&gt;"✗"),1,0)</f>
        <v/>
      </c>
      <c r="J69">
        <f>IF(AND(W10!F15&lt;&gt;"",W10!F15&lt;&gt;"✗"),1,0)</f>
        <v/>
      </c>
      <c r="K69">
        <f>IF(AND(W10!F16&lt;&gt;"",W10!F16&lt;&gt;"✗"),1,0)</f>
        <v/>
      </c>
      <c r="L69">
        <f>IF(AND(W10!F17&lt;&gt;"",W10!F17&lt;&gt;"✗"),1,0)</f>
        <v/>
      </c>
      <c r="M69">
        <f>IF(AND(W10!F18&lt;&gt;"",W10!F18&lt;&gt;"✗"),1,0)</f>
        <v/>
      </c>
      <c r="O69">
        <f>IF(D69=1,O68+1,0)</f>
        <v/>
      </c>
      <c r="P69">
        <f>IF(E69=1,P68+1,0)</f>
        <v/>
      </c>
      <c r="Q69">
        <f>IF(F69=1,Q68+1,0)</f>
        <v/>
      </c>
      <c r="R69">
        <f>IF(G69=1,R68+1,0)</f>
        <v/>
      </c>
      <c r="S69">
        <f>IF(H69=1,S68+1,0)</f>
        <v/>
      </c>
      <c r="T69">
        <f>IF(I69=1,T68+1,0)</f>
        <v/>
      </c>
      <c r="U69">
        <f>IF(J69=1,U68+1,0)</f>
        <v/>
      </c>
      <c r="V69">
        <f>IF(K69=1,V68+1,0)</f>
        <v/>
      </c>
      <c r="W69">
        <f>IF(L69=1,W68+1,0)</f>
        <v/>
      </c>
      <c r="X69">
        <f>IF(M69=1,X68+1,0)</f>
        <v/>
      </c>
    </row>
    <row r="70">
      <c r="A70" s="58">
        <f>'Start Here'!$E$6+67</f>
        <v/>
      </c>
      <c r="B70" t="n">
        <v>10</v>
      </c>
      <c r="C70" t="inlineStr">
        <is>
          <t>FRI</t>
        </is>
      </c>
      <c r="D70">
        <f>IF(AND(W10!G9&lt;&gt;"",W10!G9&lt;&gt;"✗"),1,0)</f>
        <v/>
      </c>
      <c r="E70">
        <f>IF(AND(W10!G10&lt;&gt;"",W10!G10&lt;&gt;"✗"),1,0)</f>
        <v/>
      </c>
      <c r="F70">
        <f>IF(AND(W10!G11&lt;&gt;"",W10!G11&lt;&gt;"✗"),1,0)</f>
        <v/>
      </c>
      <c r="G70">
        <f>IF(AND(W10!G12&lt;&gt;"",W10!G12&lt;&gt;"✗"),1,0)</f>
        <v/>
      </c>
      <c r="H70">
        <f>IF(AND(W10!G13&lt;&gt;"",W10!G13&lt;&gt;"✗"),1,0)</f>
        <v/>
      </c>
      <c r="I70">
        <f>IF(AND(W10!G14&lt;&gt;"",W10!G14&lt;&gt;"✗"),1,0)</f>
        <v/>
      </c>
      <c r="J70">
        <f>IF(AND(W10!G15&lt;&gt;"",W10!G15&lt;&gt;"✗"),1,0)</f>
        <v/>
      </c>
      <c r="K70">
        <f>IF(AND(W10!G16&lt;&gt;"",W10!G16&lt;&gt;"✗"),1,0)</f>
        <v/>
      </c>
      <c r="L70">
        <f>IF(AND(W10!G17&lt;&gt;"",W10!G17&lt;&gt;"✗"),1,0)</f>
        <v/>
      </c>
      <c r="M70">
        <f>IF(AND(W10!G18&lt;&gt;"",W10!G18&lt;&gt;"✗"),1,0)</f>
        <v/>
      </c>
      <c r="O70">
        <f>IF(D70=1,O69+1,0)</f>
        <v/>
      </c>
      <c r="P70">
        <f>IF(E70=1,P69+1,0)</f>
        <v/>
      </c>
      <c r="Q70">
        <f>IF(F70=1,Q69+1,0)</f>
        <v/>
      </c>
      <c r="R70">
        <f>IF(G70=1,R69+1,0)</f>
        <v/>
      </c>
      <c r="S70">
        <f>IF(H70=1,S69+1,0)</f>
        <v/>
      </c>
      <c r="T70">
        <f>IF(I70=1,T69+1,0)</f>
        <v/>
      </c>
      <c r="U70">
        <f>IF(J70=1,U69+1,0)</f>
        <v/>
      </c>
      <c r="V70">
        <f>IF(K70=1,V69+1,0)</f>
        <v/>
      </c>
      <c r="W70">
        <f>IF(L70=1,W69+1,0)</f>
        <v/>
      </c>
      <c r="X70">
        <f>IF(M70=1,X69+1,0)</f>
        <v/>
      </c>
    </row>
    <row r="71">
      <c r="A71" s="58">
        <f>'Start Here'!$E$6+68</f>
        <v/>
      </c>
      <c r="B71" t="n">
        <v>10</v>
      </c>
      <c r="C71" t="inlineStr">
        <is>
          <t>SAT</t>
        </is>
      </c>
      <c r="D71">
        <f>IF(AND(W10!H9&lt;&gt;"",W10!H9&lt;&gt;"✗"),1,0)</f>
        <v/>
      </c>
      <c r="E71">
        <f>IF(AND(W10!H10&lt;&gt;"",W10!H10&lt;&gt;"✗"),1,0)</f>
        <v/>
      </c>
      <c r="F71">
        <f>IF(AND(W10!H11&lt;&gt;"",W10!H11&lt;&gt;"✗"),1,0)</f>
        <v/>
      </c>
      <c r="G71">
        <f>IF(AND(W10!H12&lt;&gt;"",W10!H12&lt;&gt;"✗"),1,0)</f>
        <v/>
      </c>
      <c r="H71">
        <f>IF(AND(W10!H13&lt;&gt;"",W10!H13&lt;&gt;"✗"),1,0)</f>
        <v/>
      </c>
      <c r="I71">
        <f>IF(AND(W10!H14&lt;&gt;"",W10!H14&lt;&gt;"✗"),1,0)</f>
        <v/>
      </c>
      <c r="J71">
        <f>IF(AND(W10!H15&lt;&gt;"",W10!H15&lt;&gt;"✗"),1,0)</f>
        <v/>
      </c>
      <c r="K71">
        <f>IF(AND(W10!H16&lt;&gt;"",W10!H16&lt;&gt;"✗"),1,0)</f>
        <v/>
      </c>
      <c r="L71">
        <f>IF(AND(W10!H17&lt;&gt;"",W10!H17&lt;&gt;"✗"),1,0)</f>
        <v/>
      </c>
      <c r="M71">
        <f>IF(AND(W10!H18&lt;&gt;"",W10!H18&lt;&gt;"✗"),1,0)</f>
        <v/>
      </c>
      <c r="O71">
        <f>IF(D71=1,O70+1,0)</f>
        <v/>
      </c>
      <c r="P71">
        <f>IF(E71=1,P70+1,0)</f>
        <v/>
      </c>
      <c r="Q71">
        <f>IF(F71=1,Q70+1,0)</f>
        <v/>
      </c>
      <c r="R71">
        <f>IF(G71=1,R70+1,0)</f>
        <v/>
      </c>
      <c r="S71">
        <f>IF(H71=1,S70+1,0)</f>
        <v/>
      </c>
      <c r="T71">
        <f>IF(I71=1,T70+1,0)</f>
        <v/>
      </c>
      <c r="U71">
        <f>IF(J71=1,U70+1,0)</f>
        <v/>
      </c>
      <c r="V71">
        <f>IF(K71=1,V70+1,0)</f>
        <v/>
      </c>
      <c r="W71">
        <f>IF(L71=1,W70+1,0)</f>
        <v/>
      </c>
      <c r="X71">
        <f>IF(M71=1,X70+1,0)</f>
        <v/>
      </c>
    </row>
    <row r="72">
      <c r="A72" s="58">
        <f>'Start Here'!$E$6+69</f>
        <v/>
      </c>
      <c r="B72" t="n">
        <v>10</v>
      </c>
      <c r="C72" t="inlineStr">
        <is>
          <t>SUN</t>
        </is>
      </c>
      <c r="D72">
        <f>IF(AND(W10!I9&lt;&gt;"",W10!I9&lt;&gt;"✗"),1,0)</f>
        <v/>
      </c>
      <c r="E72">
        <f>IF(AND(W10!I10&lt;&gt;"",W10!I10&lt;&gt;"✗"),1,0)</f>
        <v/>
      </c>
      <c r="F72">
        <f>IF(AND(W10!I11&lt;&gt;"",W10!I11&lt;&gt;"✗"),1,0)</f>
        <v/>
      </c>
      <c r="G72">
        <f>IF(AND(W10!I12&lt;&gt;"",W10!I12&lt;&gt;"✗"),1,0)</f>
        <v/>
      </c>
      <c r="H72">
        <f>IF(AND(W10!I13&lt;&gt;"",W10!I13&lt;&gt;"✗"),1,0)</f>
        <v/>
      </c>
      <c r="I72">
        <f>IF(AND(W10!I14&lt;&gt;"",W10!I14&lt;&gt;"✗"),1,0)</f>
        <v/>
      </c>
      <c r="J72">
        <f>IF(AND(W10!I15&lt;&gt;"",W10!I15&lt;&gt;"✗"),1,0)</f>
        <v/>
      </c>
      <c r="K72">
        <f>IF(AND(W10!I16&lt;&gt;"",W10!I16&lt;&gt;"✗"),1,0)</f>
        <v/>
      </c>
      <c r="L72">
        <f>IF(AND(W10!I17&lt;&gt;"",W10!I17&lt;&gt;"✗"),1,0)</f>
        <v/>
      </c>
      <c r="M72">
        <f>IF(AND(W10!I18&lt;&gt;"",W10!I18&lt;&gt;"✗"),1,0)</f>
        <v/>
      </c>
      <c r="O72">
        <f>IF(D72=1,O71+1,0)</f>
        <v/>
      </c>
      <c r="P72">
        <f>IF(E72=1,P71+1,0)</f>
        <v/>
      </c>
      <c r="Q72">
        <f>IF(F72=1,Q71+1,0)</f>
        <v/>
      </c>
      <c r="R72">
        <f>IF(G72=1,R71+1,0)</f>
        <v/>
      </c>
      <c r="S72">
        <f>IF(H72=1,S71+1,0)</f>
        <v/>
      </c>
      <c r="T72">
        <f>IF(I72=1,T71+1,0)</f>
        <v/>
      </c>
      <c r="U72">
        <f>IF(J72=1,U71+1,0)</f>
        <v/>
      </c>
      <c r="V72">
        <f>IF(K72=1,V71+1,0)</f>
        <v/>
      </c>
      <c r="W72">
        <f>IF(L72=1,W71+1,0)</f>
        <v/>
      </c>
      <c r="X72">
        <f>IF(M72=1,X71+1,0)</f>
        <v/>
      </c>
    </row>
    <row r="73">
      <c r="A73" s="58">
        <f>'Start Here'!$E$6+70</f>
        <v/>
      </c>
      <c r="B73" t="n">
        <v>11</v>
      </c>
      <c r="C73" t="inlineStr">
        <is>
          <t>MON</t>
        </is>
      </c>
      <c r="D73">
        <f>IF(AND(W11!C9&lt;&gt;"",W11!C9&lt;&gt;"✗"),1,0)</f>
        <v/>
      </c>
      <c r="E73">
        <f>IF(AND(W11!C10&lt;&gt;"",W11!C10&lt;&gt;"✗"),1,0)</f>
        <v/>
      </c>
      <c r="F73">
        <f>IF(AND(W11!C11&lt;&gt;"",W11!C11&lt;&gt;"✗"),1,0)</f>
        <v/>
      </c>
      <c r="G73">
        <f>IF(AND(W11!C12&lt;&gt;"",W11!C12&lt;&gt;"✗"),1,0)</f>
        <v/>
      </c>
      <c r="H73">
        <f>IF(AND(W11!C13&lt;&gt;"",W11!C13&lt;&gt;"✗"),1,0)</f>
        <v/>
      </c>
      <c r="I73">
        <f>IF(AND(W11!C14&lt;&gt;"",W11!C14&lt;&gt;"✗"),1,0)</f>
        <v/>
      </c>
      <c r="J73">
        <f>IF(AND(W11!C15&lt;&gt;"",W11!C15&lt;&gt;"✗"),1,0)</f>
        <v/>
      </c>
      <c r="K73">
        <f>IF(AND(W11!C16&lt;&gt;"",W11!C16&lt;&gt;"✗"),1,0)</f>
        <v/>
      </c>
      <c r="L73">
        <f>IF(AND(W11!C17&lt;&gt;"",W11!C17&lt;&gt;"✗"),1,0)</f>
        <v/>
      </c>
      <c r="M73">
        <f>IF(AND(W11!C18&lt;&gt;"",W11!C18&lt;&gt;"✗"),1,0)</f>
        <v/>
      </c>
      <c r="O73">
        <f>IF(D73=1,O72+1,0)</f>
        <v/>
      </c>
      <c r="P73">
        <f>IF(E73=1,P72+1,0)</f>
        <v/>
      </c>
      <c r="Q73">
        <f>IF(F73=1,Q72+1,0)</f>
        <v/>
      </c>
      <c r="R73">
        <f>IF(G73=1,R72+1,0)</f>
        <v/>
      </c>
      <c r="S73">
        <f>IF(H73=1,S72+1,0)</f>
        <v/>
      </c>
      <c r="T73">
        <f>IF(I73=1,T72+1,0)</f>
        <v/>
      </c>
      <c r="U73">
        <f>IF(J73=1,U72+1,0)</f>
        <v/>
      </c>
      <c r="V73">
        <f>IF(K73=1,V72+1,0)</f>
        <v/>
      </c>
      <c r="W73">
        <f>IF(L73=1,W72+1,0)</f>
        <v/>
      </c>
      <c r="X73">
        <f>IF(M73=1,X72+1,0)</f>
        <v/>
      </c>
    </row>
    <row r="74">
      <c r="A74" s="58">
        <f>'Start Here'!$E$6+71</f>
        <v/>
      </c>
      <c r="B74" t="n">
        <v>11</v>
      </c>
      <c r="C74" t="inlineStr">
        <is>
          <t>TUE</t>
        </is>
      </c>
      <c r="D74">
        <f>IF(AND(W11!D9&lt;&gt;"",W11!D9&lt;&gt;"✗"),1,0)</f>
        <v/>
      </c>
      <c r="E74">
        <f>IF(AND(W11!D10&lt;&gt;"",W11!D10&lt;&gt;"✗"),1,0)</f>
        <v/>
      </c>
      <c r="F74">
        <f>IF(AND(W11!D11&lt;&gt;"",W11!D11&lt;&gt;"✗"),1,0)</f>
        <v/>
      </c>
      <c r="G74">
        <f>IF(AND(W11!D12&lt;&gt;"",W11!D12&lt;&gt;"✗"),1,0)</f>
        <v/>
      </c>
      <c r="H74">
        <f>IF(AND(W11!D13&lt;&gt;"",W11!D13&lt;&gt;"✗"),1,0)</f>
        <v/>
      </c>
      <c r="I74">
        <f>IF(AND(W11!D14&lt;&gt;"",W11!D14&lt;&gt;"✗"),1,0)</f>
        <v/>
      </c>
      <c r="J74">
        <f>IF(AND(W11!D15&lt;&gt;"",W11!D15&lt;&gt;"✗"),1,0)</f>
        <v/>
      </c>
      <c r="K74">
        <f>IF(AND(W11!D16&lt;&gt;"",W11!D16&lt;&gt;"✗"),1,0)</f>
        <v/>
      </c>
      <c r="L74">
        <f>IF(AND(W11!D17&lt;&gt;"",W11!D17&lt;&gt;"✗"),1,0)</f>
        <v/>
      </c>
      <c r="M74">
        <f>IF(AND(W11!D18&lt;&gt;"",W11!D18&lt;&gt;"✗"),1,0)</f>
        <v/>
      </c>
      <c r="O74">
        <f>IF(D74=1,O73+1,0)</f>
        <v/>
      </c>
      <c r="P74">
        <f>IF(E74=1,P73+1,0)</f>
        <v/>
      </c>
      <c r="Q74">
        <f>IF(F74=1,Q73+1,0)</f>
        <v/>
      </c>
      <c r="R74">
        <f>IF(G74=1,R73+1,0)</f>
        <v/>
      </c>
      <c r="S74">
        <f>IF(H74=1,S73+1,0)</f>
        <v/>
      </c>
      <c r="T74">
        <f>IF(I74=1,T73+1,0)</f>
        <v/>
      </c>
      <c r="U74">
        <f>IF(J74=1,U73+1,0)</f>
        <v/>
      </c>
      <c r="V74">
        <f>IF(K74=1,V73+1,0)</f>
        <v/>
      </c>
      <c r="W74">
        <f>IF(L74=1,W73+1,0)</f>
        <v/>
      </c>
      <c r="X74">
        <f>IF(M74=1,X73+1,0)</f>
        <v/>
      </c>
    </row>
    <row r="75">
      <c r="A75" s="58">
        <f>'Start Here'!$E$6+72</f>
        <v/>
      </c>
      <c r="B75" t="n">
        <v>11</v>
      </c>
      <c r="C75" t="inlineStr">
        <is>
          <t>WED</t>
        </is>
      </c>
      <c r="D75">
        <f>IF(AND(W11!E9&lt;&gt;"",W11!E9&lt;&gt;"✗"),1,0)</f>
        <v/>
      </c>
      <c r="E75">
        <f>IF(AND(W11!E10&lt;&gt;"",W11!E10&lt;&gt;"✗"),1,0)</f>
        <v/>
      </c>
      <c r="F75">
        <f>IF(AND(W11!E11&lt;&gt;"",W11!E11&lt;&gt;"✗"),1,0)</f>
        <v/>
      </c>
      <c r="G75">
        <f>IF(AND(W11!E12&lt;&gt;"",W11!E12&lt;&gt;"✗"),1,0)</f>
        <v/>
      </c>
      <c r="H75">
        <f>IF(AND(W11!E13&lt;&gt;"",W11!E13&lt;&gt;"✗"),1,0)</f>
        <v/>
      </c>
      <c r="I75">
        <f>IF(AND(W11!E14&lt;&gt;"",W11!E14&lt;&gt;"✗"),1,0)</f>
        <v/>
      </c>
      <c r="J75">
        <f>IF(AND(W11!E15&lt;&gt;"",W11!E15&lt;&gt;"✗"),1,0)</f>
        <v/>
      </c>
      <c r="K75">
        <f>IF(AND(W11!E16&lt;&gt;"",W11!E16&lt;&gt;"✗"),1,0)</f>
        <v/>
      </c>
      <c r="L75">
        <f>IF(AND(W11!E17&lt;&gt;"",W11!E17&lt;&gt;"✗"),1,0)</f>
        <v/>
      </c>
      <c r="M75">
        <f>IF(AND(W11!E18&lt;&gt;"",W11!E18&lt;&gt;"✗"),1,0)</f>
        <v/>
      </c>
      <c r="O75">
        <f>IF(D75=1,O74+1,0)</f>
        <v/>
      </c>
      <c r="P75">
        <f>IF(E75=1,P74+1,0)</f>
        <v/>
      </c>
      <c r="Q75">
        <f>IF(F75=1,Q74+1,0)</f>
        <v/>
      </c>
      <c r="R75">
        <f>IF(G75=1,R74+1,0)</f>
        <v/>
      </c>
      <c r="S75">
        <f>IF(H75=1,S74+1,0)</f>
        <v/>
      </c>
      <c r="T75">
        <f>IF(I75=1,T74+1,0)</f>
        <v/>
      </c>
      <c r="U75">
        <f>IF(J75=1,U74+1,0)</f>
        <v/>
      </c>
      <c r="V75">
        <f>IF(K75=1,V74+1,0)</f>
        <v/>
      </c>
      <c r="W75">
        <f>IF(L75=1,W74+1,0)</f>
        <v/>
      </c>
      <c r="X75">
        <f>IF(M75=1,X74+1,0)</f>
        <v/>
      </c>
    </row>
    <row r="76">
      <c r="A76" s="58">
        <f>'Start Here'!$E$6+73</f>
        <v/>
      </c>
      <c r="B76" t="n">
        <v>11</v>
      </c>
      <c r="C76" t="inlineStr">
        <is>
          <t>THU</t>
        </is>
      </c>
      <c r="D76">
        <f>IF(AND(W11!F9&lt;&gt;"",W11!F9&lt;&gt;"✗"),1,0)</f>
        <v/>
      </c>
      <c r="E76">
        <f>IF(AND(W11!F10&lt;&gt;"",W11!F10&lt;&gt;"✗"),1,0)</f>
        <v/>
      </c>
      <c r="F76">
        <f>IF(AND(W11!F11&lt;&gt;"",W11!F11&lt;&gt;"✗"),1,0)</f>
        <v/>
      </c>
      <c r="G76">
        <f>IF(AND(W11!F12&lt;&gt;"",W11!F12&lt;&gt;"✗"),1,0)</f>
        <v/>
      </c>
      <c r="H76">
        <f>IF(AND(W11!F13&lt;&gt;"",W11!F13&lt;&gt;"✗"),1,0)</f>
        <v/>
      </c>
      <c r="I76">
        <f>IF(AND(W11!F14&lt;&gt;"",W11!F14&lt;&gt;"✗"),1,0)</f>
        <v/>
      </c>
      <c r="J76">
        <f>IF(AND(W11!F15&lt;&gt;"",W11!F15&lt;&gt;"✗"),1,0)</f>
        <v/>
      </c>
      <c r="K76">
        <f>IF(AND(W11!F16&lt;&gt;"",W11!F16&lt;&gt;"✗"),1,0)</f>
        <v/>
      </c>
      <c r="L76">
        <f>IF(AND(W11!F17&lt;&gt;"",W11!F17&lt;&gt;"✗"),1,0)</f>
        <v/>
      </c>
      <c r="M76">
        <f>IF(AND(W11!F18&lt;&gt;"",W11!F18&lt;&gt;"✗"),1,0)</f>
        <v/>
      </c>
      <c r="O76">
        <f>IF(D76=1,O75+1,0)</f>
        <v/>
      </c>
      <c r="P76">
        <f>IF(E76=1,P75+1,0)</f>
        <v/>
      </c>
      <c r="Q76">
        <f>IF(F76=1,Q75+1,0)</f>
        <v/>
      </c>
      <c r="R76">
        <f>IF(G76=1,R75+1,0)</f>
        <v/>
      </c>
      <c r="S76">
        <f>IF(H76=1,S75+1,0)</f>
        <v/>
      </c>
      <c r="T76">
        <f>IF(I76=1,T75+1,0)</f>
        <v/>
      </c>
      <c r="U76">
        <f>IF(J76=1,U75+1,0)</f>
        <v/>
      </c>
      <c r="V76">
        <f>IF(K76=1,V75+1,0)</f>
        <v/>
      </c>
      <c r="W76">
        <f>IF(L76=1,W75+1,0)</f>
        <v/>
      </c>
      <c r="X76">
        <f>IF(M76=1,X75+1,0)</f>
        <v/>
      </c>
    </row>
    <row r="77">
      <c r="A77" s="58">
        <f>'Start Here'!$E$6+74</f>
        <v/>
      </c>
      <c r="B77" t="n">
        <v>11</v>
      </c>
      <c r="C77" t="inlineStr">
        <is>
          <t>FRI</t>
        </is>
      </c>
      <c r="D77">
        <f>IF(AND(W11!G9&lt;&gt;"",W11!G9&lt;&gt;"✗"),1,0)</f>
        <v/>
      </c>
      <c r="E77">
        <f>IF(AND(W11!G10&lt;&gt;"",W11!G10&lt;&gt;"✗"),1,0)</f>
        <v/>
      </c>
      <c r="F77">
        <f>IF(AND(W11!G11&lt;&gt;"",W11!G11&lt;&gt;"✗"),1,0)</f>
        <v/>
      </c>
      <c r="G77">
        <f>IF(AND(W11!G12&lt;&gt;"",W11!G12&lt;&gt;"✗"),1,0)</f>
        <v/>
      </c>
      <c r="H77">
        <f>IF(AND(W11!G13&lt;&gt;"",W11!G13&lt;&gt;"✗"),1,0)</f>
        <v/>
      </c>
      <c r="I77">
        <f>IF(AND(W11!G14&lt;&gt;"",W11!G14&lt;&gt;"✗"),1,0)</f>
        <v/>
      </c>
      <c r="J77">
        <f>IF(AND(W11!G15&lt;&gt;"",W11!G15&lt;&gt;"✗"),1,0)</f>
        <v/>
      </c>
      <c r="K77">
        <f>IF(AND(W11!G16&lt;&gt;"",W11!G16&lt;&gt;"✗"),1,0)</f>
        <v/>
      </c>
      <c r="L77">
        <f>IF(AND(W11!G17&lt;&gt;"",W11!G17&lt;&gt;"✗"),1,0)</f>
        <v/>
      </c>
      <c r="M77">
        <f>IF(AND(W11!G18&lt;&gt;"",W11!G18&lt;&gt;"✗"),1,0)</f>
        <v/>
      </c>
      <c r="O77">
        <f>IF(D77=1,O76+1,0)</f>
        <v/>
      </c>
      <c r="P77">
        <f>IF(E77=1,P76+1,0)</f>
        <v/>
      </c>
      <c r="Q77">
        <f>IF(F77=1,Q76+1,0)</f>
        <v/>
      </c>
      <c r="R77">
        <f>IF(G77=1,R76+1,0)</f>
        <v/>
      </c>
      <c r="S77">
        <f>IF(H77=1,S76+1,0)</f>
        <v/>
      </c>
      <c r="T77">
        <f>IF(I77=1,T76+1,0)</f>
        <v/>
      </c>
      <c r="U77">
        <f>IF(J77=1,U76+1,0)</f>
        <v/>
      </c>
      <c r="V77">
        <f>IF(K77=1,V76+1,0)</f>
        <v/>
      </c>
      <c r="W77">
        <f>IF(L77=1,W76+1,0)</f>
        <v/>
      </c>
      <c r="X77">
        <f>IF(M77=1,X76+1,0)</f>
        <v/>
      </c>
    </row>
    <row r="78">
      <c r="A78" s="58">
        <f>'Start Here'!$E$6+75</f>
        <v/>
      </c>
      <c r="B78" t="n">
        <v>11</v>
      </c>
      <c r="C78" t="inlineStr">
        <is>
          <t>SAT</t>
        </is>
      </c>
      <c r="D78">
        <f>IF(AND(W11!H9&lt;&gt;"",W11!H9&lt;&gt;"✗"),1,0)</f>
        <v/>
      </c>
      <c r="E78">
        <f>IF(AND(W11!H10&lt;&gt;"",W11!H10&lt;&gt;"✗"),1,0)</f>
        <v/>
      </c>
      <c r="F78">
        <f>IF(AND(W11!H11&lt;&gt;"",W11!H11&lt;&gt;"✗"),1,0)</f>
        <v/>
      </c>
      <c r="G78">
        <f>IF(AND(W11!H12&lt;&gt;"",W11!H12&lt;&gt;"✗"),1,0)</f>
        <v/>
      </c>
      <c r="H78">
        <f>IF(AND(W11!H13&lt;&gt;"",W11!H13&lt;&gt;"✗"),1,0)</f>
        <v/>
      </c>
      <c r="I78">
        <f>IF(AND(W11!H14&lt;&gt;"",W11!H14&lt;&gt;"✗"),1,0)</f>
        <v/>
      </c>
      <c r="J78">
        <f>IF(AND(W11!H15&lt;&gt;"",W11!H15&lt;&gt;"✗"),1,0)</f>
        <v/>
      </c>
      <c r="K78">
        <f>IF(AND(W11!H16&lt;&gt;"",W11!H16&lt;&gt;"✗"),1,0)</f>
        <v/>
      </c>
      <c r="L78">
        <f>IF(AND(W11!H17&lt;&gt;"",W11!H17&lt;&gt;"✗"),1,0)</f>
        <v/>
      </c>
      <c r="M78">
        <f>IF(AND(W11!H18&lt;&gt;"",W11!H18&lt;&gt;"✗"),1,0)</f>
        <v/>
      </c>
      <c r="O78">
        <f>IF(D78=1,O77+1,0)</f>
        <v/>
      </c>
      <c r="P78">
        <f>IF(E78=1,P77+1,0)</f>
        <v/>
      </c>
      <c r="Q78">
        <f>IF(F78=1,Q77+1,0)</f>
        <v/>
      </c>
      <c r="R78">
        <f>IF(G78=1,R77+1,0)</f>
        <v/>
      </c>
      <c r="S78">
        <f>IF(H78=1,S77+1,0)</f>
        <v/>
      </c>
      <c r="T78">
        <f>IF(I78=1,T77+1,0)</f>
        <v/>
      </c>
      <c r="U78">
        <f>IF(J78=1,U77+1,0)</f>
        <v/>
      </c>
      <c r="V78">
        <f>IF(K78=1,V77+1,0)</f>
        <v/>
      </c>
      <c r="W78">
        <f>IF(L78=1,W77+1,0)</f>
        <v/>
      </c>
      <c r="X78">
        <f>IF(M78=1,X77+1,0)</f>
        <v/>
      </c>
    </row>
    <row r="79">
      <c r="A79" s="58">
        <f>'Start Here'!$E$6+76</f>
        <v/>
      </c>
      <c r="B79" t="n">
        <v>11</v>
      </c>
      <c r="C79" t="inlineStr">
        <is>
          <t>SUN</t>
        </is>
      </c>
      <c r="D79">
        <f>IF(AND(W11!I9&lt;&gt;"",W11!I9&lt;&gt;"✗"),1,0)</f>
        <v/>
      </c>
      <c r="E79">
        <f>IF(AND(W11!I10&lt;&gt;"",W11!I10&lt;&gt;"✗"),1,0)</f>
        <v/>
      </c>
      <c r="F79">
        <f>IF(AND(W11!I11&lt;&gt;"",W11!I11&lt;&gt;"✗"),1,0)</f>
        <v/>
      </c>
      <c r="G79">
        <f>IF(AND(W11!I12&lt;&gt;"",W11!I12&lt;&gt;"✗"),1,0)</f>
        <v/>
      </c>
      <c r="H79">
        <f>IF(AND(W11!I13&lt;&gt;"",W11!I13&lt;&gt;"✗"),1,0)</f>
        <v/>
      </c>
      <c r="I79">
        <f>IF(AND(W11!I14&lt;&gt;"",W11!I14&lt;&gt;"✗"),1,0)</f>
        <v/>
      </c>
      <c r="J79">
        <f>IF(AND(W11!I15&lt;&gt;"",W11!I15&lt;&gt;"✗"),1,0)</f>
        <v/>
      </c>
      <c r="K79">
        <f>IF(AND(W11!I16&lt;&gt;"",W11!I16&lt;&gt;"✗"),1,0)</f>
        <v/>
      </c>
      <c r="L79">
        <f>IF(AND(W11!I17&lt;&gt;"",W11!I17&lt;&gt;"✗"),1,0)</f>
        <v/>
      </c>
      <c r="M79">
        <f>IF(AND(W11!I18&lt;&gt;"",W11!I18&lt;&gt;"✗"),1,0)</f>
        <v/>
      </c>
      <c r="O79">
        <f>IF(D79=1,O78+1,0)</f>
        <v/>
      </c>
      <c r="P79">
        <f>IF(E79=1,P78+1,0)</f>
        <v/>
      </c>
      <c r="Q79">
        <f>IF(F79=1,Q78+1,0)</f>
        <v/>
      </c>
      <c r="R79">
        <f>IF(G79=1,R78+1,0)</f>
        <v/>
      </c>
      <c r="S79">
        <f>IF(H79=1,S78+1,0)</f>
        <v/>
      </c>
      <c r="T79">
        <f>IF(I79=1,T78+1,0)</f>
        <v/>
      </c>
      <c r="U79">
        <f>IF(J79=1,U78+1,0)</f>
        <v/>
      </c>
      <c r="V79">
        <f>IF(K79=1,V78+1,0)</f>
        <v/>
      </c>
      <c r="W79">
        <f>IF(L79=1,W78+1,0)</f>
        <v/>
      </c>
      <c r="X79">
        <f>IF(M79=1,X78+1,0)</f>
        <v/>
      </c>
    </row>
    <row r="80">
      <c r="A80" s="58">
        <f>'Start Here'!$E$6+77</f>
        <v/>
      </c>
      <c r="B80" t="n">
        <v>12</v>
      </c>
      <c r="C80" t="inlineStr">
        <is>
          <t>MON</t>
        </is>
      </c>
      <c r="D80">
        <f>IF(AND(W12!C9&lt;&gt;"",W12!C9&lt;&gt;"✗"),1,0)</f>
        <v/>
      </c>
      <c r="E80">
        <f>IF(AND(W12!C10&lt;&gt;"",W12!C10&lt;&gt;"✗"),1,0)</f>
        <v/>
      </c>
      <c r="F80">
        <f>IF(AND(W12!C11&lt;&gt;"",W12!C11&lt;&gt;"✗"),1,0)</f>
        <v/>
      </c>
      <c r="G80">
        <f>IF(AND(W12!C12&lt;&gt;"",W12!C12&lt;&gt;"✗"),1,0)</f>
        <v/>
      </c>
      <c r="H80">
        <f>IF(AND(W12!C13&lt;&gt;"",W12!C13&lt;&gt;"✗"),1,0)</f>
        <v/>
      </c>
      <c r="I80">
        <f>IF(AND(W12!C14&lt;&gt;"",W12!C14&lt;&gt;"✗"),1,0)</f>
        <v/>
      </c>
      <c r="J80">
        <f>IF(AND(W12!C15&lt;&gt;"",W12!C15&lt;&gt;"✗"),1,0)</f>
        <v/>
      </c>
      <c r="K80">
        <f>IF(AND(W12!C16&lt;&gt;"",W12!C16&lt;&gt;"✗"),1,0)</f>
        <v/>
      </c>
      <c r="L80">
        <f>IF(AND(W12!C17&lt;&gt;"",W12!C17&lt;&gt;"✗"),1,0)</f>
        <v/>
      </c>
      <c r="M80">
        <f>IF(AND(W12!C18&lt;&gt;"",W12!C18&lt;&gt;"✗"),1,0)</f>
        <v/>
      </c>
      <c r="O80">
        <f>IF(D80=1,O79+1,0)</f>
        <v/>
      </c>
      <c r="P80">
        <f>IF(E80=1,P79+1,0)</f>
        <v/>
      </c>
      <c r="Q80">
        <f>IF(F80=1,Q79+1,0)</f>
        <v/>
      </c>
      <c r="R80">
        <f>IF(G80=1,R79+1,0)</f>
        <v/>
      </c>
      <c r="S80">
        <f>IF(H80=1,S79+1,0)</f>
        <v/>
      </c>
      <c r="T80">
        <f>IF(I80=1,T79+1,0)</f>
        <v/>
      </c>
      <c r="U80">
        <f>IF(J80=1,U79+1,0)</f>
        <v/>
      </c>
      <c r="V80">
        <f>IF(K80=1,V79+1,0)</f>
        <v/>
      </c>
      <c r="W80">
        <f>IF(L80=1,W79+1,0)</f>
        <v/>
      </c>
      <c r="X80">
        <f>IF(M80=1,X79+1,0)</f>
        <v/>
      </c>
    </row>
    <row r="81">
      <c r="A81" s="58">
        <f>'Start Here'!$E$6+78</f>
        <v/>
      </c>
      <c r="B81" t="n">
        <v>12</v>
      </c>
      <c r="C81" t="inlineStr">
        <is>
          <t>TUE</t>
        </is>
      </c>
      <c r="D81">
        <f>IF(AND(W12!D9&lt;&gt;"",W12!D9&lt;&gt;"✗"),1,0)</f>
        <v/>
      </c>
      <c r="E81">
        <f>IF(AND(W12!D10&lt;&gt;"",W12!D10&lt;&gt;"✗"),1,0)</f>
        <v/>
      </c>
      <c r="F81">
        <f>IF(AND(W12!D11&lt;&gt;"",W12!D11&lt;&gt;"✗"),1,0)</f>
        <v/>
      </c>
      <c r="G81">
        <f>IF(AND(W12!D12&lt;&gt;"",W12!D12&lt;&gt;"✗"),1,0)</f>
        <v/>
      </c>
      <c r="H81">
        <f>IF(AND(W12!D13&lt;&gt;"",W12!D13&lt;&gt;"✗"),1,0)</f>
        <v/>
      </c>
      <c r="I81">
        <f>IF(AND(W12!D14&lt;&gt;"",W12!D14&lt;&gt;"✗"),1,0)</f>
        <v/>
      </c>
      <c r="J81">
        <f>IF(AND(W12!D15&lt;&gt;"",W12!D15&lt;&gt;"✗"),1,0)</f>
        <v/>
      </c>
      <c r="K81">
        <f>IF(AND(W12!D16&lt;&gt;"",W12!D16&lt;&gt;"✗"),1,0)</f>
        <v/>
      </c>
      <c r="L81">
        <f>IF(AND(W12!D17&lt;&gt;"",W12!D17&lt;&gt;"✗"),1,0)</f>
        <v/>
      </c>
      <c r="M81">
        <f>IF(AND(W12!D18&lt;&gt;"",W12!D18&lt;&gt;"✗"),1,0)</f>
        <v/>
      </c>
      <c r="O81">
        <f>IF(D81=1,O80+1,0)</f>
        <v/>
      </c>
      <c r="P81">
        <f>IF(E81=1,P80+1,0)</f>
        <v/>
      </c>
      <c r="Q81">
        <f>IF(F81=1,Q80+1,0)</f>
        <v/>
      </c>
      <c r="R81">
        <f>IF(G81=1,R80+1,0)</f>
        <v/>
      </c>
      <c r="S81">
        <f>IF(H81=1,S80+1,0)</f>
        <v/>
      </c>
      <c r="T81">
        <f>IF(I81=1,T80+1,0)</f>
        <v/>
      </c>
      <c r="U81">
        <f>IF(J81=1,U80+1,0)</f>
        <v/>
      </c>
      <c r="V81">
        <f>IF(K81=1,V80+1,0)</f>
        <v/>
      </c>
      <c r="W81">
        <f>IF(L81=1,W80+1,0)</f>
        <v/>
      </c>
      <c r="X81">
        <f>IF(M81=1,X80+1,0)</f>
        <v/>
      </c>
    </row>
    <row r="82">
      <c r="A82" s="58">
        <f>'Start Here'!$E$6+79</f>
        <v/>
      </c>
      <c r="B82" t="n">
        <v>12</v>
      </c>
      <c r="C82" t="inlineStr">
        <is>
          <t>WED</t>
        </is>
      </c>
      <c r="D82">
        <f>IF(AND(W12!E9&lt;&gt;"",W12!E9&lt;&gt;"✗"),1,0)</f>
        <v/>
      </c>
      <c r="E82">
        <f>IF(AND(W12!E10&lt;&gt;"",W12!E10&lt;&gt;"✗"),1,0)</f>
        <v/>
      </c>
      <c r="F82">
        <f>IF(AND(W12!E11&lt;&gt;"",W12!E11&lt;&gt;"✗"),1,0)</f>
        <v/>
      </c>
      <c r="G82">
        <f>IF(AND(W12!E12&lt;&gt;"",W12!E12&lt;&gt;"✗"),1,0)</f>
        <v/>
      </c>
      <c r="H82">
        <f>IF(AND(W12!E13&lt;&gt;"",W12!E13&lt;&gt;"✗"),1,0)</f>
        <v/>
      </c>
      <c r="I82">
        <f>IF(AND(W12!E14&lt;&gt;"",W12!E14&lt;&gt;"✗"),1,0)</f>
        <v/>
      </c>
      <c r="J82">
        <f>IF(AND(W12!E15&lt;&gt;"",W12!E15&lt;&gt;"✗"),1,0)</f>
        <v/>
      </c>
      <c r="K82">
        <f>IF(AND(W12!E16&lt;&gt;"",W12!E16&lt;&gt;"✗"),1,0)</f>
        <v/>
      </c>
      <c r="L82">
        <f>IF(AND(W12!E17&lt;&gt;"",W12!E17&lt;&gt;"✗"),1,0)</f>
        <v/>
      </c>
      <c r="M82">
        <f>IF(AND(W12!E18&lt;&gt;"",W12!E18&lt;&gt;"✗"),1,0)</f>
        <v/>
      </c>
      <c r="O82">
        <f>IF(D82=1,O81+1,0)</f>
        <v/>
      </c>
      <c r="P82">
        <f>IF(E82=1,P81+1,0)</f>
        <v/>
      </c>
      <c r="Q82">
        <f>IF(F82=1,Q81+1,0)</f>
        <v/>
      </c>
      <c r="R82">
        <f>IF(G82=1,R81+1,0)</f>
        <v/>
      </c>
      <c r="S82">
        <f>IF(H82=1,S81+1,0)</f>
        <v/>
      </c>
      <c r="T82">
        <f>IF(I82=1,T81+1,0)</f>
        <v/>
      </c>
      <c r="U82">
        <f>IF(J82=1,U81+1,0)</f>
        <v/>
      </c>
      <c r="V82">
        <f>IF(K82=1,V81+1,0)</f>
        <v/>
      </c>
      <c r="W82">
        <f>IF(L82=1,W81+1,0)</f>
        <v/>
      </c>
      <c r="X82">
        <f>IF(M82=1,X81+1,0)</f>
        <v/>
      </c>
    </row>
    <row r="83">
      <c r="A83" s="58">
        <f>'Start Here'!$E$6+80</f>
        <v/>
      </c>
      <c r="B83" t="n">
        <v>12</v>
      </c>
      <c r="C83" t="inlineStr">
        <is>
          <t>THU</t>
        </is>
      </c>
      <c r="D83">
        <f>IF(AND(W12!F9&lt;&gt;"",W12!F9&lt;&gt;"✗"),1,0)</f>
        <v/>
      </c>
      <c r="E83">
        <f>IF(AND(W12!F10&lt;&gt;"",W12!F10&lt;&gt;"✗"),1,0)</f>
        <v/>
      </c>
      <c r="F83">
        <f>IF(AND(W12!F11&lt;&gt;"",W12!F11&lt;&gt;"✗"),1,0)</f>
        <v/>
      </c>
      <c r="G83">
        <f>IF(AND(W12!F12&lt;&gt;"",W12!F12&lt;&gt;"✗"),1,0)</f>
        <v/>
      </c>
      <c r="H83">
        <f>IF(AND(W12!F13&lt;&gt;"",W12!F13&lt;&gt;"✗"),1,0)</f>
        <v/>
      </c>
      <c r="I83">
        <f>IF(AND(W12!F14&lt;&gt;"",W12!F14&lt;&gt;"✗"),1,0)</f>
        <v/>
      </c>
      <c r="J83">
        <f>IF(AND(W12!F15&lt;&gt;"",W12!F15&lt;&gt;"✗"),1,0)</f>
        <v/>
      </c>
      <c r="K83">
        <f>IF(AND(W12!F16&lt;&gt;"",W12!F16&lt;&gt;"✗"),1,0)</f>
        <v/>
      </c>
      <c r="L83">
        <f>IF(AND(W12!F17&lt;&gt;"",W12!F17&lt;&gt;"✗"),1,0)</f>
        <v/>
      </c>
      <c r="M83">
        <f>IF(AND(W12!F18&lt;&gt;"",W12!F18&lt;&gt;"✗"),1,0)</f>
        <v/>
      </c>
      <c r="O83">
        <f>IF(D83=1,O82+1,0)</f>
        <v/>
      </c>
      <c r="P83">
        <f>IF(E83=1,P82+1,0)</f>
        <v/>
      </c>
      <c r="Q83">
        <f>IF(F83=1,Q82+1,0)</f>
        <v/>
      </c>
      <c r="R83">
        <f>IF(G83=1,R82+1,0)</f>
        <v/>
      </c>
      <c r="S83">
        <f>IF(H83=1,S82+1,0)</f>
        <v/>
      </c>
      <c r="T83">
        <f>IF(I83=1,T82+1,0)</f>
        <v/>
      </c>
      <c r="U83">
        <f>IF(J83=1,U82+1,0)</f>
        <v/>
      </c>
      <c r="V83">
        <f>IF(K83=1,V82+1,0)</f>
        <v/>
      </c>
      <c r="W83">
        <f>IF(L83=1,W82+1,0)</f>
        <v/>
      </c>
      <c r="X83">
        <f>IF(M83=1,X82+1,0)</f>
        <v/>
      </c>
    </row>
    <row r="84">
      <c r="A84" s="58">
        <f>'Start Here'!$E$6+81</f>
        <v/>
      </c>
      <c r="B84" t="n">
        <v>12</v>
      </c>
      <c r="C84" t="inlineStr">
        <is>
          <t>FRI</t>
        </is>
      </c>
      <c r="D84">
        <f>IF(AND(W12!G9&lt;&gt;"",W12!G9&lt;&gt;"✗"),1,0)</f>
        <v/>
      </c>
      <c r="E84">
        <f>IF(AND(W12!G10&lt;&gt;"",W12!G10&lt;&gt;"✗"),1,0)</f>
        <v/>
      </c>
      <c r="F84">
        <f>IF(AND(W12!G11&lt;&gt;"",W12!G11&lt;&gt;"✗"),1,0)</f>
        <v/>
      </c>
      <c r="G84">
        <f>IF(AND(W12!G12&lt;&gt;"",W12!G12&lt;&gt;"✗"),1,0)</f>
        <v/>
      </c>
      <c r="H84">
        <f>IF(AND(W12!G13&lt;&gt;"",W12!G13&lt;&gt;"✗"),1,0)</f>
        <v/>
      </c>
      <c r="I84">
        <f>IF(AND(W12!G14&lt;&gt;"",W12!G14&lt;&gt;"✗"),1,0)</f>
        <v/>
      </c>
      <c r="J84">
        <f>IF(AND(W12!G15&lt;&gt;"",W12!G15&lt;&gt;"✗"),1,0)</f>
        <v/>
      </c>
      <c r="K84">
        <f>IF(AND(W12!G16&lt;&gt;"",W12!G16&lt;&gt;"✗"),1,0)</f>
        <v/>
      </c>
      <c r="L84">
        <f>IF(AND(W12!G17&lt;&gt;"",W12!G17&lt;&gt;"✗"),1,0)</f>
        <v/>
      </c>
      <c r="M84">
        <f>IF(AND(W12!G18&lt;&gt;"",W12!G18&lt;&gt;"✗"),1,0)</f>
        <v/>
      </c>
      <c r="O84">
        <f>IF(D84=1,O83+1,0)</f>
        <v/>
      </c>
      <c r="P84">
        <f>IF(E84=1,P83+1,0)</f>
        <v/>
      </c>
      <c r="Q84">
        <f>IF(F84=1,Q83+1,0)</f>
        <v/>
      </c>
      <c r="R84">
        <f>IF(G84=1,R83+1,0)</f>
        <v/>
      </c>
      <c r="S84">
        <f>IF(H84=1,S83+1,0)</f>
        <v/>
      </c>
      <c r="T84">
        <f>IF(I84=1,T83+1,0)</f>
        <v/>
      </c>
      <c r="U84">
        <f>IF(J84=1,U83+1,0)</f>
        <v/>
      </c>
      <c r="V84">
        <f>IF(K84=1,V83+1,0)</f>
        <v/>
      </c>
      <c r="W84">
        <f>IF(L84=1,W83+1,0)</f>
        <v/>
      </c>
      <c r="X84">
        <f>IF(M84=1,X83+1,0)</f>
        <v/>
      </c>
    </row>
    <row r="85">
      <c r="A85" s="58">
        <f>'Start Here'!$E$6+82</f>
        <v/>
      </c>
      <c r="B85" t="n">
        <v>12</v>
      </c>
      <c r="C85" t="inlineStr">
        <is>
          <t>SAT</t>
        </is>
      </c>
      <c r="D85">
        <f>IF(AND(W12!H9&lt;&gt;"",W12!H9&lt;&gt;"✗"),1,0)</f>
        <v/>
      </c>
      <c r="E85">
        <f>IF(AND(W12!H10&lt;&gt;"",W12!H10&lt;&gt;"✗"),1,0)</f>
        <v/>
      </c>
      <c r="F85">
        <f>IF(AND(W12!H11&lt;&gt;"",W12!H11&lt;&gt;"✗"),1,0)</f>
        <v/>
      </c>
      <c r="G85">
        <f>IF(AND(W12!H12&lt;&gt;"",W12!H12&lt;&gt;"✗"),1,0)</f>
        <v/>
      </c>
      <c r="H85">
        <f>IF(AND(W12!H13&lt;&gt;"",W12!H13&lt;&gt;"✗"),1,0)</f>
        <v/>
      </c>
      <c r="I85">
        <f>IF(AND(W12!H14&lt;&gt;"",W12!H14&lt;&gt;"✗"),1,0)</f>
        <v/>
      </c>
      <c r="J85">
        <f>IF(AND(W12!H15&lt;&gt;"",W12!H15&lt;&gt;"✗"),1,0)</f>
        <v/>
      </c>
      <c r="K85">
        <f>IF(AND(W12!H16&lt;&gt;"",W12!H16&lt;&gt;"✗"),1,0)</f>
        <v/>
      </c>
      <c r="L85">
        <f>IF(AND(W12!H17&lt;&gt;"",W12!H17&lt;&gt;"✗"),1,0)</f>
        <v/>
      </c>
      <c r="M85">
        <f>IF(AND(W12!H18&lt;&gt;"",W12!H18&lt;&gt;"✗"),1,0)</f>
        <v/>
      </c>
      <c r="O85">
        <f>IF(D85=1,O84+1,0)</f>
        <v/>
      </c>
      <c r="P85">
        <f>IF(E85=1,P84+1,0)</f>
        <v/>
      </c>
      <c r="Q85">
        <f>IF(F85=1,Q84+1,0)</f>
        <v/>
      </c>
      <c r="R85">
        <f>IF(G85=1,R84+1,0)</f>
        <v/>
      </c>
      <c r="S85">
        <f>IF(H85=1,S84+1,0)</f>
        <v/>
      </c>
      <c r="T85">
        <f>IF(I85=1,T84+1,0)</f>
        <v/>
      </c>
      <c r="U85">
        <f>IF(J85=1,U84+1,0)</f>
        <v/>
      </c>
      <c r="V85">
        <f>IF(K85=1,V84+1,0)</f>
        <v/>
      </c>
      <c r="W85">
        <f>IF(L85=1,W84+1,0)</f>
        <v/>
      </c>
      <c r="X85">
        <f>IF(M85=1,X84+1,0)</f>
        <v/>
      </c>
    </row>
    <row r="86">
      <c r="A86" s="58">
        <f>'Start Here'!$E$6+83</f>
        <v/>
      </c>
      <c r="B86" t="n">
        <v>12</v>
      </c>
      <c r="C86" t="inlineStr">
        <is>
          <t>SUN</t>
        </is>
      </c>
      <c r="D86">
        <f>IF(AND(W12!I9&lt;&gt;"",W12!I9&lt;&gt;"✗"),1,0)</f>
        <v/>
      </c>
      <c r="E86">
        <f>IF(AND(W12!I10&lt;&gt;"",W12!I10&lt;&gt;"✗"),1,0)</f>
        <v/>
      </c>
      <c r="F86">
        <f>IF(AND(W12!I11&lt;&gt;"",W12!I11&lt;&gt;"✗"),1,0)</f>
        <v/>
      </c>
      <c r="G86">
        <f>IF(AND(W12!I12&lt;&gt;"",W12!I12&lt;&gt;"✗"),1,0)</f>
        <v/>
      </c>
      <c r="H86">
        <f>IF(AND(W12!I13&lt;&gt;"",W12!I13&lt;&gt;"✗"),1,0)</f>
        <v/>
      </c>
      <c r="I86">
        <f>IF(AND(W12!I14&lt;&gt;"",W12!I14&lt;&gt;"✗"),1,0)</f>
        <v/>
      </c>
      <c r="J86">
        <f>IF(AND(W12!I15&lt;&gt;"",W12!I15&lt;&gt;"✗"),1,0)</f>
        <v/>
      </c>
      <c r="K86">
        <f>IF(AND(W12!I16&lt;&gt;"",W12!I16&lt;&gt;"✗"),1,0)</f>
        <v/>
      </c>
      <c r="L86">
        <f>IF(AND(W12!I17&lt;&gt;"",W12!I17&lt;&gt;"✗"),1,0)</f>
        <v/>
      </c>
      <c r="M86">
        <f>IF(AND(W12!I18&lt;&gt;"",W12!I18&lt;&gt;"✗"),1,0)</f>
        <v/>
      </c>
      <c r="O86">
        <f>IF(D86=1,O85+1,0)</f>
        <v/>
      </c>
      <c r="P86">
        <f>IF(E86=1,P85+1,0)</f>
        <v/>
      </c>
      <c r="Q86">
        <f>IF(F86=1,Q85+1,0)</f>
        <v/>
      </c>
      <c r="R86">
        <f>IF(G86=1,R85+1,0)</f>
        <v/>
      </c>
      <c r="S86">
        <f>IF(H86=1,S85+1,0)</f>
        <v/>
      </c>
      <c r="T86">
        <f>IF(I86=1,T85+1,0)</f>
        <v/>
      </c>
      <c r="U86">
        <f>IF(J86=1,U85+1,0)</f>
        <v/>
      </c>
      <c r="V86">
        <f>IF(K86=1,V85+1,0)</f>
        <v/>
      </c>
      <c r="W86">
        <f>IF(L86=1,W85+1,0)</f>
        <v/>
      </c>
      <c r="X86">
        <f>IF(M86=1,X85+1,0)</f>
        <v/>
      </c>
    </row>
    <row r="87">
      <c r="A87" s="58">
        <f>'Start Here'!$E$6+84</f>
        <v/>
      </c>
      <c r="B87" t="n">
        <v>13</v>
      </c>
      <c r="C87" t="inlineStr">
        <is>
          <t>MON</t>
        </is>
      </c>
      <c r="D87">
        <f>IF(AND(W13!C9&lt;&gt;"",W13!C9&lt;&gt;"✗"),1,0)</f>
        <v/>
      </c>
      <c r="E87">
        <f>IF(AND(W13!C10&lt;&gt;"",W13!C10&lt;&gt;"✗"),1,0)</f>
        <v/>
      </c>
      <c r="F87">
        <f>IF(AND(W13!C11&lt;&gt;"",W13!C11&lt;&gt;"✗"),1,0)</f>
        <v/>
      </c>
      <c r="G87">
        <f>IF(AND(W13!C12&lt;&gt;"",W13!C12&lt;&gt;"✗"),1,0)</f>
        <v/>
      </c>
      <c r="H87">
        <f>IF(AND(W13!C13&lt;&gt;"",W13!C13&lt;&gt;"✗"),1,0)</f>
        <v/>
      </c>
      <c r="I87">
        <f>IF(AND(W13!C14&lt;&gt;"",W13!C14&lt;&gt;"✗"),1,0)</f>
        <v/>
      </c>
      <c r="J87">
        <f>IF(AND(W13!C15&lt;&gt;"",W13!C15&lt;&gt;"✗"),1,0)</f>
        <v/>
      </c>
      <c r="K87">
        <f>IF(AND(W13!C16&lt;&gt;"",W13!C16&lt;&gt;"✗"),1,0)</f>
        <v/>
      </c>
      <c r="L87">
        <f>IF(AND(W13!C17&lt;&gt;"",W13!C17&lt;&gt;"✗"),1,0)</f>
        <v/>
      </c>
      <c r="M87">
        <f>IF(AND(W13!C18&lt;&gt;"",W13!C18&lt;&gt;"✗"),1,0)</f>
        <v/>
      </c>
      <c r="O87">
        <f>IF(D87=1,O86+1,0)</f>
        <v/>
      </c>
      <c r="P87">
        <f>IF(E87=1,P86+1,0)</f>
        <v/>
      </c>
      <c r="Q87">
        <f>IF(F87=1,Q86+1,0)</f>
        <v/>
      </c>
      <c r="R87">
        <f>IF(G87=1,R86+1,0)</f>
        <v/>
      </c>
      <c r="S87">
        <f>IF(H87=1,S86+1,0)</f>
        <v/>
      </c>
      <c r="T87">
        <f>IF(I87=1,T86+1,0)</f>
        <v/>
      </c>
      <c r="U87">
        <f>IF(J87=1,U86+1,0)</f>
        <v/>
      </c>
      <c r="V87">
        <f>IF(K87=1,V86+1,0)</f>
        <v/>
      </c>
      <c r="W87">
        <f>IF(L87=1,W86+1,0)</f>
        <v/>
      </c>
      <c r="X87">
        <f>IF(M87=1,X86+1,0)</f>
        <v/>
      </c>
    </row>
    <row r="88">
      <c r="A88" s="58">
        <f>'Start Here'!$E$6+85</f>
        <v/>
      </c>
      <c r="B88" t="n">
        <v>13</v>
      </c>
      <c r="C88" t="inlineStr">
        <is>
          <t>TUE</t>
        </is>
      </c>
      <c r="D88">
        <f>IF(AND(W13!D9&lt;&gt;"",W13!D9&lt;&gt;"✗"),1,0)</f>
        <v/>
      </c>
      <c r="E88">
        <f>IF(AND(W13!D10&lt;&gt;"",W13!D10&lt;&gt;"✗"),1,0)</f>
        <v/>
      </c>
      <c r="F88">
        <f>IF(AND(W13!D11&lt;&gt;"",W13!D11&lt;&gt;"✗"),1,0)</f>
        <v/>
      </c>
      <c r="G88">
        <f>IF(AND(W13!D12&lt;&gt;"",W13!D12&lt;&gt;"✗"),1,0)</f>
        <v/>
      </c>
      <c r="H88">
        <f>IF(AND(W13!D13&lt;&gt;"",W13!D13&lt;&gt;"✗"),1,0)</f>
        <v/>
      </c>
      <c r="I88">
        <f>IF(AND(W13!D14&lt;&gt;"",W13!D14&lt;&gt;"✗"),1,0)</f>
        <v/>
      </c>
      <c r="J88">
        <f>IF(AND(W13!D15&lt;&gt;"",W13!D15&lt;&gt;"✗"),1,0)</f>
        <v/>
      </c>
      <c r="K88">
        <f>IF(AND(W13!D16&lt;&gt;"",W13!D16&lt;&gt;"✗"),1,0)</f>
        <v/>
      </c>
      <c r="L88">
        <f>IF(AND(W13!D17&lt;&gt;"",W13!D17&lt;&gt;"✗"),1,0)</f>
        <v/>
      </c>
      <c r="M88">
        <f>IF(AND(W13!D18&lt;&gt;"",W13!D18&lt;&gt;"✗"),1,0)</f>
        <v/>
      </c>
      <c r="O88">
        <f>IF(D88=1,O87+1,0)</f>
        <v/>
      </c>
      <c r="P88">
        <f>IF(E88=1,P87+1,0)</f>
        <v/>
      </c>
      <c r="Q88">
        <f>IF(F88=1,Q87+1,0)</f>
        <v/>
      </c>
      <c r="R88">
        <f>IF(G88=1,R87+1,0)</f>
        <v/>
      </c>
      <c r="S88">
        <f>IF(H88=1,S87+1,0)</f>
        <v/>
      </c>
      <c r="T88">
        <f>IF(I88=1,T87+1,0)</f>
        <v/>
      </c>
      <c r="U88">
        <f>IF(J88=1,U87+1,0)</f>
        <v/>
      </c>
      <c r="V88">
        <f>IF(K88=1,V87+1,0)</f>
        <v/>
      </c>
      <c r="W88">
        <f>IF(L88=1,W87+1,0)</f>
        <v/>
      </c>
      <c r="X88">
        <f>IF(M88=1,X87+1,0)</f>
        <v/>
      </c>
    </row>
    <row r="89">
      <c r="A89" s="58">
        <f>'Start Here'!$E$6+86</f>
        <v/>
      </c>
      <c r="B89" t="n">
        <v>13</v>
      </c>
      <c r="C89" t="inlineStr">
        <is>
          <t>WED</t>
        </is>
      </c>
      <c r="D89">
        <f>IF(AND(W13!E9&lt;&gt;"",W13!E9&lt;&gt;"✗"),1,0)</f>
        <v/>
      </c>
      <c r="E89">
        <f>IF(AND(W13!E10&lt;&gt;"",W13!E10&lt;&gt;"✗"),1,0)</f>
        <v/>
      </c>
      <c r="F89">
        <f>IF(AND(W13!E11&lt;&gt;"",W13!E11&lt;&gt;"✗"),1,0)</f>
        <v/>
      </c>
      <c r="G89">
        <f>IF(AND(W13!E12&lt;&gt;"",W13!E12&lt;&gt;"✗"),1,0)</f>
        <v/>
      </c>
      <c r="H89">
        <f>IF(AND(W13!E13&lt;&gt;"",W13!E13&lt;&gt;"✗"),1,0)</f>
        <v/>
      </c>
      <c r="I89">
        <f>IF(AND(W13!E14&lt;&gt;"",W13!E14&lt;&gt;"✗"),1,0)</f>
        <v/>
      </c>
      <c r="J89">
        <f>IF(AND(W13!E15&lt;&gt;"",W13!E15&lt;&gt;"✗"),1,0)</f>
        <v/>
      </c>
      <c r="K89">
        <f>IF(AND(W13!E16&lt;&gt;"",W13!E16&lt;&gt;"✗"),1,0)</f>
        <v/>
      </c>
      <c r="L89">
        <f>IF(AND(W13!E17&lt;&gt;"",W13!E17&lt;&gt;"✗"),1,0)</f>
        <v/>
      </c>
      <c r="M89">
        <f>IF(AND(W13!E18&lt;&gt;"",W13!E18&lt;&gt;"✗"),1,0)</f>
        <v/>
      </c>
      <c r="O89">
        <f>IF(D89=1,O88+1,0)</f>
        <v/>
      </c>
      <c r="P89">
        <f>IF(E89=1,P88+1,0)</f>
        <v/>
      </c>
      <c r="Q89">
        <f>IF(F89=1,Q88+1,0)</f>
        <v/>
      </c>
      <c r="R89">
        <f>IF(G89=1,R88+1,0)</f>
        <v/>
      </c>
      <c r="S89">
        <f>IF(H89=1,S88+1,0)</f>
        <v/>
      </c>
      <c r="T89">
        <f>IF(I89=1,T88+1,0)</f>
        <v/>
      </c>
      <c r="U89">
        <f>IF(J89=1,U88+1,0)</f>
        <v/>
      </c>
      <c r="V89">
        <f>IF(K89=1,V88+1,0)</f>
        <v/>
      </c>
      <c r="W89">
        <f>IF(L89=1,W88+1,0)</f>
        <v/>
      </c>
      <c r="X89">
        <f>IF(M89=1,X88+1,0)</f>
        <v/>
      </c>
    </row>
    <row r="90">
      <c r="A90" s="58">
        <f>'Start Here'!$E$6+87</f>
        <v/>
      </c>
      <c r="B90" t="n">
        <v>13</v>
      </c>
      <c r="C90" t="inlineStr">
        <is>
          <t>THU</t>
        </is>
      </c>
      <c r="D90">
        <f>IF(AND(W13!F9&lt;&gt;"",W13!F9&lt;&gt;"✗"),1,0)</f>
        <v/>
      </c>
      <c r="E90">
        <f>IF(AND(W13!F10&lt;&gt;"",W13!F10&lt;&gt;"✗"),1,0)</f>
        <v/>
      </c>
      <c r="F90">
        <f>IF(AND(W13!F11&lt;&gt;"",W13!F11&lt;&gt;"✗"),1,0)</f>
        <v/>
      </c>
      <c r="G90">
        <f>IF(AND(W13!F12&lt;&gt;"",W13!F12&lt;&gt;"✗"),1,0)</f>
        <v/>
      </c>
      <c r="H90">
        <f>IF(AND(W13!F13&lt;&gt;"",W13!F13&lt;&gt;"✗"),1,0)</f>
        <v/>
      </c>
      <c r="I90">
        <f>IF(AND(W13!F14&lt;&gt;"",W13!F14&lt;&gt;"✗"),1,0)</f>
        <v/>
      </c>
      <c r="J90">
        <f>IF(AND(W13!F15&lt;&gt;"",W13!F15&lt;&gt;"✗"),1,0)</f>
        <v/>
      </c>
      <c r="K90">
        <f>IF(AND(W13!F16&lt;&gt;"",W13!F16&lt;&gt;"✗"),1,0)</f>
        <v/>
      </c>
      <c r="L90">
        <f>IF(AND(W13!F17&lt;&gt;"",W13!F17&lt;&gt;"✗"),1,0)</f>
        <v/>
      </c>
      <c r="M90">
        <f>IF(AND(W13!F18&lt;&gt;"",W13!F18&lt;&gt;"✗"),1,0)</f>
        <v/>
      </c>
      <c r="O90">
        <f>IF(D90=1,O89+1,0)</f>
        <v/>
      </c>
      <c r="P90">
        <f>IF(E90=1,P89+1,0)</f>
        <v/>
      </c>
      <c r="Q90">
        <f>IF(F90=1,Q89+1,0)</f>
        <v/>
      </c>
      <c r="R90">
        <f>IF(G90=1,R89+1,0)</f>
        <v/>
      </c>
      <c r="S90">
        <f>IF(H90=1,S89+1,0)</f>
        <v/>
      </c>
      <c r="T90">
        <f>IF(I90=1,T89+1,0)</f>
        <v/>
      </c>
      <c r="U90">
        <f>IF(J90=1,U89+1,0)</f>
        <v/>
      </c>
      <c r="V90">
        <f>IF(K90=1,V89+1,0)</f>
        <v/>
      </c>
      <c r="W90">
        <f>IF(L90=1,W89+1,0)</f>
        <v/>
      </c>
      <c r="X90">
        <f>IF(M90=1,X89+1,0)</f>
        <v/>
      </c>
    </row>
    <row r="91">
      <c r="A91" s="58">
        <f>'Start Here'!$E$6+88</f>
        <v/>
      </c>
      <c r="B91" t="n">
        <v>13</v>
      </c>
      <c r="C91" t="inlineStr">
        <is>
          <t>FRI</t>
        </is>
      </c>
      <c r="D91">
        <f>IF(AND(W13!G9&lt;&gt;"",W13!G9&lt;&gt;"✗"),1,0)</f>
        <v/>
      </c>
      <c r="E91">
        <f>IF(AND(W13!G10&lt;&gt;"",W13!G10&lt;&gt;"✗"),1,0)</f>
        <v/>
      </c>
      <c r="F91">
        <f>IF(AND(W13!G11&lt;&gt;"",W13!G11&lt;&gt;"✗"),1,0)</f>
        <v/>
      </c>
      <c r="G91">
        <f>IF(AND(W13!G12&lt;&gt;"",W13!G12&lt;&gt;"✗"),1,0)</f>
        <v/>
      </c>
      <c r="H91">
        <f>IF(AND(W13!G13&lt;&gt;"",W13!G13&lt;&gt;"✗"),1,0)</f>
        <v/>
      </c>
      <c r="I91">
        <f>IF(AND(W13!G14&lt;&gt;"",W13!G14&lt;&gt;"✗"),1,0)</f>
        <v/>
      </c>
      <c r="J91">
        <f>IF(AND(W13!G15&lt;&gt;"",W13!G15&lt;&gt;"✗"),1,0)</f>
        <v/>
      </c>
      <c r="K91">
        <f>IF(AND(W13!G16&lt;&gt;"",W13!G16&lt;&gt;"✗"),1,0)</f>
        <v/>
      </c>
      <c r="L91">
        <f>IF(AND(W13!G17&lt;&gt;"",W13!G17&lt;&gt;"✗"),1,0)</f>
        <v/>
      </c>
      <c r="M91">
        <f>IF(AND(W13!G18&lt;&gt;"",W13!G18&lt;&gt;"✗"),1,0)</f>
        <v/>
      </c>
      <c r="O91">
        <f>IF(D91=1,O90+1,0)</f>
        <v/>
      </c>
      <c r="P91">
        <f>IF(E91=1,P90+1,0)</f>
        <v/>
      </c>
      <c r="Q91">
        <f>IF(F91=1,Q90+1,0)</f>
        <v/>
      </c>
      <c r="R91">
        <f>IF(G91=1,R90+1,0)</f>
        <v/>
      </c>
      <c r="S91">
        <f>IF(H91=1,S90+1,0)</f>
        <v/>
      </c>
      <c r="T91">
        <f>IF(I91=1,T90+1,0)</f>
        <v/>
      </c>
      <c r="U91">
        <f>IF(J91=1,U90+1,0)</f>
        <v/>
      </c>
      <c r="V91">
        <f>IF(K91=1,V90+1,0)</f>
        <v/>
      </c>
      <c r="W91">
        <f>IF(L91=1,W90+1,0)</f>
        <v/>
      </c>
      <c r="X91">
        <f>IF(M91=1,X90+1,0)</f>
        <v/>
      </c>
    </row>
    <row r="92">
      <c r="A92" s="58">
        <f>'Start Here'!$E$6+89</f>
        <v/>
      </c>
      <c r="B92" t="n">
        <v>13</v>
      </c>
      <c r="C92" t="inlineStr">
        <is>
          <t>SAT</t>
        </is>
      </c>
      <c r="D92">
        <f>IF(AND(W13!H9&lt;&gt;"",W13!H9&lt;&gt;"✗"),1,0)</f>
        <v/>
      </c>
      <c r="E92">
        <f>IF(AND(W13!H10&lt;&gt;"",W13!H10&lt;&gt;"✗"),1,0)</f>
        <v/>
      </c>
      <c r="F92">
        <f>IF(AND(W13!H11&lt;&gt;"",W13!H11&lt;&gt;"✗"),1,0)</f>
        <v/>
      </c>
      <c r="G92">
        <f>IF(AND(W13!H12&lt;&gt;"",W13!H12&lt;&gt;"✗"),1,0)</f>
        <v/>
      </c>
      <c r="H92">
        <f>IF(AND(W13!H13&lt;&gt;"",W13!H13&lt;&gt;"✗"),1,0)</f>
        <v/>
      </c>
      <c r="I92">
        <f>IF(AND(W13!H14&lt;&gt;"",W13!H14&lt;&gt;"✗"),1,0)</f>
        <v/>
      </c>
      <c r="J92">
        <f>IF(AND(W13!H15&lt;&gt;"",W13!H15&lt;&gt;"✗"),1,0)</f>
        <v/>
      </c>
      <c r="K92">
        <f>IF(AND(W13!H16&lt;&gt;"",W13!H16&lt;&gt;"✗"),1,0)</f>
        <v/>
      </c>
      <c r="L92">
        <f>IF(AND(W13!H17&lt;&gt;"",W13!H17&lt;&gt;"✗"),1,0)</f>
        <v/>
      </c>
      <c r="M92">
        <f>IF(AND(W13!H18&lt;&gt;"",W13!H18&lt;&gt;"✗"),1,0)</f>
        <v/>
      </c>
      <c r="O92">
        <f>IF(D92=1,O91+1,0)</f>
        <v/>
      </c>
      <c r="P92">
        <f>IF(E92=1,P91+1,0)</f>
        <v/>
      </c>
      <c r="Q92">
        <f>IF(F92=1,Q91+1,0)</f>
        <v/>
      </c>
      <c r="R92">
        <f>IF(G92=1,R91+1,0)</f>
        <v/>
      </c>
      <c r="S92">
        <f>IF(H92=1,S91+1,0)</f>
        <v/>
      </c>
      <c r="T92">
        <f>IF(I92=1,T91+1,0)</f>
        <v/>
      </c>
      <c r="U92">
        <f>IF(J92=1,U91+1,0)</f>
        <v/>
      </c>
      <c r="V92">
        <f>IF(K92=1,V91+1,0)</f>
        <v/>
      </c>
      <c r="W92">
        <f>IF(L92=1,W91+1,0)</f>
        <v/>
      </c>
      <c r="X92">
        <f>IF(M92=1,X91+1,0)</f>
        <v/>
      </c>
    </row>
    <row r="93">
      <c r="A93" s="58">
        <f>'Start Here'!$E$6+90</f>
        <v/>
      </c>
      <c r="B93" t="n">
        <v>13</v>
      </c>
      <c r="C93" t="inlineStr">
        <is>
          <t>SUN</t>
        </is>
      </c>
      <c r="D93">
        <f>IF(AND(W13!I9&lt;&gt;"",W13!I9&lt;&gt;"✗"),1,0)</f>
        <v/>
      </c>
      <c r="E93">
        <f>IF(AND(W13!I10&lt;&gt;"",W13!I10&lt;&gt;"✗"),1,0)</f>
        <v/>
      </c>
      <c r="F93">
        <f>IF(AND(W13!I11&lt;&gt;"",W13!I11&lt;&gt;"✗"),1,0)</f>
        <v/>
      </c>
      <c r="G93">
        <f>IF(AND(W13!I12&lt;&gt;"",W13!I12&lt;&gt;"✗"),1,0)</f>
        <v/>
      </c>
      <c r="H93">
        <f>IF(AND(W13!I13&lt;&gt;"",W13!I13&lt;&gt;"✗"),1,0)</f>
        <v/>
      </c>
      <c r="I93">
        <f>IF(AND(W13!I14&lt;&gt;"",W13!I14&lt;&gt;"✗"),1,0)</f>
        <v/>
      </c>
      <c r="J93">
        <f>IF(AND(W13!I15&lt;&gt;"",W13!I15&lt;&gt;"✗"),1,0)</f>
        <v/>
      </c>
      <c r="K93">
        <f>IF(AND(W13!I16&lt;&gt;"",W13!I16&lt;&gt;"✗"),1,0)</f>
        <v/>
      </c>
      <c r="L93">
        <f>IF(AND(W13!I17&lt;&gt;"",W13!I17&lt;&gt;"✗"),1,0)</f>
        <v/>
      </c>
      <c r="M93">
        <f>IF(AND(W13!I18&lt;&gt;"",W13!I18&lt;&gt;"✗"),1,0)</f>
        <v/>
      </c>
      <c r="O93">
        <f>IF(D93=1,O92+1,0)</f>
        <v/>
      </c>
      <c r="P93">
        <f>IF(E93=1,P92+1,0)</f>
        <v/>
      </c>
      <c r="Q93">
        <f>IF(F93=1,Q92+1,0)</f>
        <v/>
      </c>
      <c r="R93">
        <f>IF(G93=1,R92+1,0)</f>
        <v/>
      </c>
      <c r="S93">
        <f>IF(H93=1,S92+1,0)</f>
        <v/>
      </c>
      <c r="T93">
        <f>IF(I93=1,T92+1,0)</f>
        <v/>
      </c>
      <c r="U93">
        <f>IF(J93=1,U92+1,0)</f>
        <v/>
      </c>
      <c r="V93">
        <f>IF(K93=1,V92+1,0)</f>
        <v/>
      </c>
      <c r="W93">
        <f>IF(L93=1,W92+1,0)</f>
        <v/>
      </c>
      <c r="X93">
        <f>IF(M93=1,X92+1,0)</f>
        <v/>
      </c>
    </row>
    <row r="94">
      <c r="A94" s="58">
        <f>'Start Here'!$E$6+91</f>
        <v/>
      </c>
      <c r="B94" t="n">
        <v>14</v>
      </c>
      <c r="C94" t="inlineStr">
        <is>
          <t>MON</t>
        </is>
      </c>
      <c r="D94">
        <f>IF(AND(W14!C9&lt;&gt;"",W14!C9&lt;&gt;"✗"),1,0)</f>
        <v/>
      </c>
      <c r="E94">
        <f>IF(AND(W14!C10&lt;&gt;"",W14!C10&lt;&gt;"✗"),1,0)</f>
        <v/>
      </c>
      <c r="F94">
        <f>IF(AND(W14!C11&lt;&gt;"",W14!C11&lt;&gt;"✗"),1,0)</f>
        <v/>
      </c>
      <c r="G94">
        <f>IF(AND(W14!C12&lt;&gt;"",W14!C12&lt;&gt;"✗"),1,0)</f>
        <v/>
      </c>
      <c r="H94">
        <f>IF(AND(W14!C13&lt;&gt;"",W14!C13&lt;&gt;"✗"),1,0)</f>
        <v/>
      </c>
      <c r="I94">
        <f>IF(AND(W14!C14&lt;&gt;"",W14!C14&lt;&gt;"✗"),1,0)</f>
        <v/>
      </c>
      <c r="J94">
        <f>IF(AND(W14!C15&lt;&gt;"",W14!C15&lt;&gt;"✗"),1,0)</f>
        <v/>
      </c>
      <c r="K94">
        <f>IF(AND(W14!C16&lt;&gt;"",W14!C16&lt;&gt;"✗"),1,0)</f>
        <v/>
      </c>
      <c r="L94">
        <f>IF(AND(W14!C17&lt;&gt;"",W14!C17&lt;&gt;"✗"),1,0)</f>
        <v/>
      </c>
      <c r="M94">
        <f>IF(AND(W14!C18&lt;&gt;"",W14!C18&lt;&gt;"✗"),1,0)</f>
        <v/>
      </c>
      <c r="O94">
        <f>IF(D94=1,O93+1,0)</f>
        <v/>
      </c>
      <c r="P94">
        <f>IF(E94=1,P93+1,0)</f>
        <v/>
      </c>
      <c r="Q94">
        <f>IF(F94=1,Q93+1,0)</f>
        <v/>
      </c>
      <c r="R94">
        <f>IF(G94=1,R93+1,0)</f>
        <v/>
      </c>
      <c r="S94">
        <f>IF(H94=1,S93+1,0)</f>
        <v/>
      </c>
      <c r="T94">
        <f>IF(I94=1,T93+1,0)</f>
        <v/>
      </c>
      <c r="U94">
        <f>IF(J94=1,U93+1,0)</f>
        <v/>
      </c>
      <c r="V94">
        <f>IF(K94=1,V93+1,0)</f>
        <v/>
      </c>
      <c r="W94">
        <f>IF(L94=1,W93+1,0)</f>
        <v/>
      </c>
      <c r="X94">
        <f>IF(M94=1,X93+1,0)</f>
        <v/>
      </c>
    </row>
    <row r="95">
      <c r="A95" s="58">
        <f>'Start Here'!$E$6+92</f>
        <v/>
      </c>
      <c r="B95" t="n">
        <v>14</v>
      </c>
      <c r="C95" t="inlineStr">
        <is>
          <t>TUE</t>
        </is>
      </c>
      <c r="D95">
        <f>IF(AND(W14!D9&lt;&gt;"",W14!D9&lt;&gt;"✗"),1,0)</f>
        <v/>
      </c>
      <c r="E95">
        <f>IF(AND(W14!D10&lt;&gt;"",W14!D10&lt;&gt;"✗"),1,0)</f>
        <v/>
      </c>
      <c r="F95">
        <f>IF(AND(W14!D11&lt;&gt;"",W14!D11&lt;&gt;"✗"),1,0)</f>
        <v/>
      </c>
      <c r="G95">
        <f>IF(AND(W14!D12&lt;&gt;"",W14!D12&lt;&gt;"✗"),1,0)</f>
        <v/>
      </c>
      <c r="H95">
        <f>IF(AND(W14!D13&lt;&gt;"",W14!D13&lt;&gt;"✗"),1,0)</f>
        <v/>
      </c>
      <c r="I95">
        <f>IF(AND(W14!D14&lt;&gt;"",W14!D14&lt;&gt;"✗"),1,0)</f>
        <v/>
      </c>
      <c r="J95">
        <f>IF(AND(W14!D15&lt;&gt;"",W14!D15&lt;&gt;"✗"),1,0)</f>
        <v/>
      </c>
      <c r="K95">
        <f>IF(AND(W14!D16&lt;&gt;"",W14!D16&lt;&gt;"✗"),1,0)</f>
        <v/>
      </c>
      <c r="L95">
        <f>IF(AND(W14!D17&lt;&gt;"",W14!D17&lt;&gt;"✗"),1,0)</f>
        <v/>
      </c>
      <c r="M95">
        <f>IF(AND(W14!D18&lt;&gt;"",W14!D18&lt;&gt;"✗"),1,0)</f>
        <v/>
      </c>
      <c r="O95">
        <f>IF(D95=1,O94+1,0)</f>
        <v/>
      </c>
      <c r="P95">
        <f>IF(E95=1,P94+1,0)</f>
        <v/>
      </c>
      <c r="Q95">
        <f>IF(F95=1,Q94+1,0)</f>
        <v/>
      </c>
      <c r="R95">
        <f>IF(G95=1,R94+1,0)</f>
        <v/>
      </c>
      <c r="S95">
        <f>IF(H95=1,S94+1,0)</f>
        <v/>
      </c>
      <c r="T95">
        <f>IF(I95=1,T94+1,0)</f>
        <v/>
      </c>
      <c r="U95">
        <f>IF(J95=1,U94+1,0)</f>
        <v/>
      </c>
      <c r="V95">
        <f>IF(K95=1,V94+1,0)</f>
        <v/>
      </c>
      <c r="W95">
        <f>IF(L95=1,W94+1,0)</f>
        <v/>
      </c>
      <c r="X95">
        <f>IF(M95=1,X94+1,0)</f>
        <v/>
      </c>
    </row>
    <row r="96">
      <c r="A96" s="58">
        <f>'Start Here'!$E$6+93</f>
        <v/>
      </c>
      <c r="B96" t="n">
        <v>14</v>
      </c>
      <c r="C96" t="inlineStr">
        <is>
          <t>WED</t>
        </is>
      </c>
      <c r="D96">
        <f>IF(AND(W14!E9&lt;&gt;"",W14!E9&lt;&gt;"✗"),1,0)</f>
        <v/>
      </c>
      <c r="E96">
        <f>IF(AND(W14!E10&lt;&gt;"",W14!E10&lt;&gt;"✗"),1,0)</f>
        <v/>
      </c>
      <c r="F96">
        <f>IF(AND(W14!E11&lt;&gt;"",W14!E11&lt;&gt;"✗"),1,0)</f>
        <v/>
      </c>
      <c r="G96">
        <f>IF(AND(W14!E12&lt;&gt;"",W14!E12&lt;&gt;"✗"),1,0)</f>
        <v/>
      </c>
      <c r="H96">
        <f>IF(AND(W14!E13&lt;&gt;"",W14!E13&lt;&gt;"✗"),1,0)</f>
        <v/>
      </c>
      <c r="I96">
        <f>IF(AND(W14!E14&lt;&gt;"",W14!E14&lt;&gt;"✗"),1,0)</f>
        <v/>
      </c>
      <c r="J96">
        <f>IF(AND(W14!E15&lt;&gt;"",W14!E15&lt;&gt;"✗"),1,0)</f>
        <v/>
      </c>
      <c r="K96">
        <f>IF(AND(W14!E16&lt;&gt;"",W14!E16&lt;&gt;"✗"),1,0)</f>
        <v/>
      </c>
      <c r="L96">
        <f>IF(AND(W14!E17&lt;&gt;"",W14!E17&lt;&gt;"✗"),1,0)</f>
        <v/>
      </c>
      <c r="M96">
        <f>IF(AND(W14!E18&lt;&gt;"",W14!E18&lt;&gt;"✗"),1,0)</f>
        <v/>
      </c>
      <c r="O96">
        <f>IF(D96=1,O95+1,0)</f>
        <v/>
      </c>
      <c r="P96">
        <f>IF(E96=1,P95+1,0)</f>
        <v/>
      </c>
      <c r="Q96">
        <f>IF(F96=1,Q95+1,0)</f>
        <v/>
      </c>
      <c r="R96">
        <f>IF(G96=1,R95+1,0)</f>
        <v/>
      </c>
      <c r="S96">
        <f>IF(H96=1,S95+1,0)</f>
        <v/>
      </c>
      <c r="T96">
        <f>IF(I96=1,T95+1,0)</f>
        <v/>
      </c>
      <c r="U96">
        <f>IF(J96=1,U95+1,0)</f>
        <v/>
      </c>
      <c r="V96">
        <f>IF(K96=1,V95+1,0)</f>
        <v/>
      </c>
      <c r="W96">
        <f>IF(L96=1,W95+1,0)</f>
        <v/>
      </c>
      <c r="X96">
        <f>IF(M96=1,X95+1,0)</f>
        <v/>
      </c>
    </row>
    <row r="97">
      <c r="A97" s="58">
        <f>'Start Here'!$E$6+94</f>
        <v/>
      </c>
      <c r="B97" t="n">
        <v>14</v>
      </c>
      <c r="C97" t="inlineStr">
        <is>
          <t>THU</t>
        </is>
      </c>
      <c r="D97">
        <f>IF(AND(W14!F9&lt;&gt;"",W14!F9&lt;&gt;"✗"),1,0)</f>
        <v/>
      </c>
      <c r="E97">
        <f>IF(AND(W14!F10&lt;&gt;"",W14!F10&lt;&gt;"✗"),1,0)</f>
        <v/>
      </c>
      <c r="F97">
        <f>IF(AND(W14!F11&lt;&gt;"",W14!F11&lt;&gt;"✗"),1,0)</f>
        <v/>
      </c>
      <c r="G97">
        <f>IF(AND(W14!F12&lt;&gt;"",W14!F12&lt;&gt;"✗"),1,0)</f>
        <v/>
      </c>
      <c r="H97">
        <f>IF(AND(W14!F13&lt;&gt;"",W14!F13&lt;&gt;"✗"),1,0)</f>
        <v/>
      </c>
      <c r="I97">
        <f>IF(AND(W14!F14&lt;&gt;"",W14!F14&lt;&gt;"✗"),1,0)</f>
        <v/>
      </c>
      <c r="J97">
        <f>IF(AND(W14!F15&lt;&gt;"",W14!F15&lt;&gt;"✗"),1,0)</f>
        <v/>
      </c>
      <c r="K97">
        <f>IF(AND(W14!F16&lt;&gt;"",W14!F16&lt;&gt;"✗"),1,0)</f>
        <v/>
      </c>
      <c r="L97">
        <f>IF(AND(W14!F17&lt;&gt;"",W14!F17&lt;&gt;"✗"),1,0)</f>
        <v/>
      </c>
      <c r="M97">
        <f>IF(AND(W14!F18&lt;&gt;"",W14!F18&lt;&gt;"✗"),1,0)</f>
        <v/>
      </c>
      <c r="O97">
        <f>IF(D97=1,O96+1,0)</f>
        <v/>
      </c>
      <c r="P97">
        <f>IF(E97=1,P96+1,0)</f>
        <v/>
      </c>
      <c r="Q97">
        <f>IF(F97=1,Q96+1,0)</f>
        <v/>
      </c>
      <c r="R97">
        <f>IF(G97=1,R96+1,0)</f>
        <v/>
      </c>
      <c r="S97">
        <f>IF(H97=1,S96+1,0)</f>
        <v/>
      </c>
      <c r="T97">
        <f>IF(I97=1,T96+1,0)</f>
        <v/>
      </c>
      <c r="U97">
        <f>IF(J97=1,U96+1,0)</f>
        <v/>
      </c>
      <c r="V97">
        <f>IF(K97=1,V96+1,0)</f>
        <v/>
      </c>
      <c r="W97">
        <f>IF(L97=1,W96+1,0)</f>
        <v/>
      </c>
      <c r="X97">
        <f>IF(M97=1,X96+1,0)</f>
        <v/>
      </c>
    </row>
    <row r="98">
      <c r="A98" s="58">
        <f>'Start Here'!$E$6+95</f>
        <v/>
      </c>
      <c r="B98" t="n">
        <v>14</v>
      </c>
      <c r="C98" t="inlineStr">
        <is>
          <t>FRI</t>
        </is>
      </c>
      <c r="D98">
        <f>IF(AND(W14!G9&lt;&gt;"",W14!G9&lt;&gt;"✗"),1,0)</f>
        <v/>
      </c>
      <c r="E98">
        <f>IF(AND(W14!G10&lt;&gt;"",W14!G10&lt;&gt;"✗"),1,0)</f>
        <v/>
      </c>
      <c r="F98">
        <f>IF(AND(W14!G11&lt;&gt;"",W14!G11&lt;&gt;"✗"),1,0)</f>
        <v/>
      </c>
      <c r="G98">
        <f>IF(AND(W14!G12&lt;&gt;"",W14!G12&lt;&gt;"✗"),1,0)</f>
        <v/>
      </c>
      <c r="H98">
        <f>IF(AND(W14!G13&lt;&gt;"",W14!G13&lt;&gt;"✗"),1,0)</f>
        <v/>
      </c>
      <c r="I98">
        <f>IF(AND(W14!G14&lt;&gt;"",W14!G14&lt;&gt;"✗"),1,0)</f>
        <v/>
      </c>
      <c r="J98">
        <f>IF(AND(W14!G15&lt;&gt;"",W14!G15&lt;&gt;"✗"),1,0)</f>
        <v/>
      </c>
      <c r="K98">
        <f>IF(AND(W14!G16&lt;&gt;"",W14!G16&lt;&gt;"✗"),1,0)</f>
        <v/>
      </c>
      <c r="L98">
        <f>IF(AND(W14!G17&lt;&gt;"",W14!G17&lt;&gt;"✗"),1,0)</f>
        <v/>
      </c>
      <c r="M98">
        <f>IF(AND(W14!G18&lt;&gt;"",W14!G18&lt;&gt;"✗"),1,0)</f>
        <v/>
      </c>
      <c r="O98">
        <f>IF(D98=1,O97+1,0)</f>
        <v/>
      </c>
      <c r="P98">
        <f>IF(E98=1,P97+1,0)</f>
        <v/>
      </c>
      <c r="Q98">
        <f>IF(F98=1,Q97+1,0)</f>
        <v/>
      </c>
      <c r="R98">
        <f>IF(G98=1,R97+1,0)</f>
        <v/>
      </c>
      <c r="S98">
        <f>IF(H98=1,S97+1,0)</f>
        <v/>
      </c>
      <c r="T98">
        <f>IF(I98=1,T97+1,0)</f>
        <v/>
      </c>
      <c r="U98">
        <f>IF(J98=1,U97+1,0)</f>
        <v/>
      </c>
      <c r="V98">
        <f>IF(K98=1,V97+1,0)</f>
        <v/>
      </c>
      <c r="W98">
        <f>IF(L98=1,W97+1,0)</f>
        <v/>
      </c>
      <c r="X98">
        <f>IF(M98=1,X97+1,0)</f>
        <v/>
      </c>
    </row>
    <row r="99">
      <c r="A99" s="58">
        <f>'Start Here'!$E$6+96</f>
        <v/>
      </c>
      <c r="B99" t="n">
        <v>14</v>
      </c>
      <c r="C99" t="inlineStr">
        <is>
          <t>SAT</t>
        </is>
      </c>
      <c r="D99">
        <f>IF(AND(W14!H9&lt;&gt;"",W14!H9&lt;&gt;"✗"),1,0)</f>
        <v/>
      </c>
      <c r="E99">
        <f>IF(AND(W14!H10&lt;&gt;"",W14!H10&lt;&gt;"✗"),1,0)</f>
        <v/>
      </c>
      <c r="F99">
        <f>IF(AND(W14!H11&lt;&gt;"",W14!H11&lt;&gt;"✗"),1,0)</f>
        <v/>
      </c>
      <c r="G99">
        <f>IF(AND(W14!H12&lt;&gt;"",W14!H12&lt;&gt;"✗"),1,0)</f>
        <v/>
      </c>
      <c r="H99">
        <f>IF(AND(W14!H13&lt;&gt;"",W14!H13&lt;&gt;"✗"),1,0)</f>
        <v/>
      </c>
      <c r="I99">
        <f>IF(AND(W14!H14&lt;&gt;"",W14!H14&lt;&gt;"✗"),1,0)</f>
        <v/>
      </c>
      <c r="J99">
        <f>IF(AND(W14!H15&lt;&gt;"",W14!H15&lt;&gt;"✗"),1,0)</f>
        <v/>
      </c>
      <c r="K99">
        <f>IF(AND(W14!H16&lt;&gt;"",W14!H16&lt;&gt;"✗"),1,0)</f>
        <v/>
      </c>
      <c r="L99">
        <f>IF(AND(W14!H17&lt;&gt;"",W14!H17&lt;&gt;"✗"),1,0)</f>
        <v/>
      </c>
      <c r="M99">
        <f>IF(AND(W14!H18&lt;&gt;"",W14!H18&lt;&gt;"✗"),1,0)</f>
        <v/>
      </c>
      <c r="O99">
        <f>IF(D99=1,O98+1,0)</f>
        <v/>
      </c>
      <c r="P99">
        <f>IF(E99=1,P98+1,0)</f>
        <v/>
      </c>
      <c r="Q99">
        <f>IF(F99=1,Q98+1,0)</f>
        <v/>
      </c>
      <c r="R99">
        <f>IF(G99=1,R98+1,0)</f>
        <v/>
      </c>
      <c r="S99">
        <f>IF(H99=1,S98+1,0)</f>
        <v/>
      </c>
      <c r="T99">
        <f>IF(I99=1,T98+1,0)</f>
        <v/>
      </c>
      <c r="U99">
        <f>IF(J99=1,U98+1,0)</f>
        <v/>
      </c>
      <c r="V99">
        <f>IF(K99=1,V98+1,0)</f>
        <v/>
      </c>
      <c r="W99">
        <f>IF(L99=1,W98+1,0)</f>
        <v/>
      </c>
      <c r="X99">
        <f>IF(M99=1,X98+1,0)</f>
        <v/>
      </c>
    </row>
    <row r="100">
      <c r="A100" s="58">
        <f>'Start Here'!$E$6+97</f>
        <v/>
      </c>
      <c r="B100" t="n">
        <v>14</v>
      </c>
      <c r="C100" t="inlineStr">
        <is>
          <t>SUN</t>
        </is>
      </c>
      <c r="D100">
        <f>IF(AND(W14!I9&lt;&gt;"",W14!I9&lt;&gt;"✗"),1,0)</f>
        <v/>
      </c>
      <c r="E100">
        <f>IF(AND(W14!I10&lt;&gt;"",W14!I10&lt;&gt;"✗"),1,0)</f>
        <v/>
      </c>
      <c r="F100">
        <f>IF(AND(W14!I11&lt;&gt;"",W14!I11&lt;&gt;"✗"),1,0)</f>
        <v/>
      </c>
      <c r="G100">
        <f>IF(AND(W14!I12&lt;&gt;"",W14!I12&lt;&gt;"✗"),1,0)</f>
        <v/>
      </c>
      <c r="H100">
        <f>IF(AND(W14!I13&lt;&gt;"",W14!I13&lt;&gt;"✗"),1,0)</f>
        <v/>
      </c>
      <c r="I100">
        <f>IF(AND(W14!I14&lt;&gt;"",W14!I14&lt;&gt;"✗"),1,0)</f>
        <v/>
      </c>
      <c r="J100">
        <f>IF(AND(W14!I15&lt;&gt;"",W14!I15&lt;&gt;"✗"),1,0)</f>
        <v/>
      </c>
      <c r="K100">
        <f>IF(AND(W14!I16&lt;&gt;"",W14!I16&lt;&gt;"✗"),1,0)</f>
        <v/>
      </c>
      <c r="L100">
        <f>IF(AND(W14!I17&lt;&gt;"",W14!I17&lt;&gt;"✗"),1,0)</f>
        <v/>
      </c>
      <c r="M100">
        <f>IF(AND(W14!I18&lt;&gt;"",W14!I18&lt;&gt;"✗"),1,0)</f>
        <v/>
      </c>
      <c r="O100">
        <f>IF(D100=1,O99+1,0)</f>
        <v/>
      </c>
      <c r="P100">
        <f>IF(E100=1,P99+1,0)</f>
        <v/>
      </c>
      <c r="Q100">
        <f>IF(F100=1,Q99+1,0)</f>
        <v/>
      </c>
      <c r="R100">
        <f>IF(G100=1,R99+1,0)</f>
        <v/>
      </c>
      <c r="S100">
        <f>IF(H100=1,S99+1,0)</f>
        <v/>
      </c>
      <c r="T100">
        <f>IF(I100=1,T99+1,0)</f>
        <v/>
      </c>
      <c r="U100">
        <f>IF(J100=1,U99+1,0)</f>
        <v/>
      </c>
      <c r="V100">
        <f>IF(K100=1,V99+1,0)</f>
        <v/>
      </c>
      <c r="W100">
        <f>IF(L100=1,W99+1,0)</f>
        <v/>
      </c>
      <c r="X100">
        <f>IF(M100=1,X99+1,0)</f>
        <v/>
      </c>
    </row>
    <row r="101">
      <c r="A101" s="58">
        <f>'Start Here'!$E$6+98</f>
        <v/>
      </c>
      <c r="B101" t="n">
        <v>15</v>
      </c>
      <c r="C101" t="inlineStr">
        <is>
          <t>MON</t>
        </is>
      </c>
      <c r="D101">
        <f>IF(AND(W15!C9&lt;&gt;"",W15!C9&lt;&gt;"✗"),1,0)</f>
        <v/>
      </c>
      <c r="E101">
        <f>IF(AND(W15!C10&lt;&gt;"",W15!C10&lt;&gt;"✗"),1,0)</f>
        <v/>
      </c>
      <c r="F101">
        <f>IF(AND(W15!C11&lt;&gt;"",W15!C11&lt;&gt;"✗"),1,0)</f>
        <v/>
      </c>
      <c r="G101">
        <f>IF(AND(W15!C12&lt;&gt;"",W15!C12&lt;&gt;"✗"),1,0)</f>
        <v/>
      </c>
      <c r="H101">
        <f>IF(AND(W15!C13&lt;&gt;"",W15!C13&lt;&gt;"✗"),1,0)</f>
        <v/>
      </c>
      <c r="I101">
        <f>IF(AND(W15!C14&lt;&gt;"",W15!C14&lt;&gt;"✗"),1,0)</f>
        <v/>
      </c>
      <c r="J101">
        <f>IF(AND(W15!C15&lt;&gt;"",W15!C15&lt;&gt;"✗"),1,0)</f>
        <v/>
      </c>
      <c r="K101">
        <f>IF(AND(W15!C16&lt;&gt;"",W15!C16&lt;&gt;"✗"),1,0)</f>
        <v/>
      </c>
      <c r="L101">
        <f>IF(AND(W15!C17&lt;&gt;"",W15!C17&lt;&gt;"✗"),1,0)</f>
        <v/>
      </c>
      <c r="M101">
        <f>IF(AND(W15!C18&lt;&gt;"",W15!C18&lt;&gt;"✗"),1,0)</f>
        <v/>
      </c>
      <c r="O101">
        <f>IF(D101=1,O100+1,0)</f>
        <v/>
      </c>
      <c r="P101">
        <f>IF(E101=1,P100+1,0)</f>
        <v/>
      </c>
      <c r="Q101">
        <f>IF(F101=1,Q100+1,0)</f>
        <v/>
      </c>
      <c r="R101">
        <f>IF(G101=1,R100+1,0)</f>
        <v/>
      </c>
      <c r="S101">
        <f>IF(H101=1,S100+1,0)</f>
        <v/>
      </c>
      <c r="T101">
        <f>IF(I101=1,T100+1,0)</f>
        <v/>
      </c>
      <c r="U101">
        <f>IF(J101=1,U100+1,0)</f>
        <v/>
      </c>
      <c r="V101">
        <f>IF(K101=1,V100+1,0)</f>
        <v/>
      </c>
      <c r="W101">
        <f>IF(L101=1,W100+1,0)</f>
        <v/>
      </c>
      <c r="X101">
        <f>IF(M101=1,X100+1,0)</f>
        <v/>
      </c>
    </row>
    <row r="102">
      <c r="A102" s="58">
        <f>'Start Here'!$E$6+99</f>
        <v/>
      </c>
      <c r="B102" t="n">
        <v>15</v>
      </c>
      <c r="C102" t="inlineStr">
        <is>
          <t>TUE</t>
        </is>
      </c>
      <c r="D102">
        <f>IF(AND(W15!D9&lt;&gt;"",W15!D9&lt;&gt;"✗"),1,0)</f>
        <v/>
      </c>
      <c r="E102">
        <f>IF(AND(W15!D10&lt;&gt;"",W15!D10&lt;&gt;"✗"),1,0)</f>
        <v/>
      </c>
      <c r="F102">
        <f>IF(AND(W15!D11&lt;&gt;"",W15!D11&lt;&gt;"✗"),1,0)</f>
        <v/>
      </c>
      <c r="G102">
        <f>IF(AND(W15!D12&lt;&gt;"",W15!D12&lt;&gt;"✗"),1,0)</f>
        <v/>
      </c>
      <c r="H102">
        <f>IF(AND(W15!D13&lt;&gt;"",W15!D13&lt;&gt;"✗"),1,0)</f>
        <v/>
      </c>
      <c r="I102">
        <f>IF(AND(W15!D14&lt;&gt;"",W15!D14&lt;&gt;"✗"),1,0)</f>
        <v/>
      </c>
      <c r="J102">
        <f>IF(AND(W15!D15&lt;&gt;"",W15!D15&lt;&gt;"✗"),1,0)</f>
        <v/>
      </c>
      <c r="K102">
        <f>IF(AND(W15!D16&lt;&gt;"",W15!D16&lt;&gt;"✗"),1,0)</f>
        <v/>
      </c>
      <c r="L102">
        <f>IF(AND(W15!D17&lt;&gt;"",W15!D17&lt;&gt;"✗"),1,0)</f>
        <v/>
      </c>
      <c r="M102">
        <f>IF(AND(W15!D18&lt;&gt;"",W15!D18&lt;&gt;"✗"),1,0)</f>
        <v/>
      </c>
      <c r="O102">
        <f>IF(D102=1,O101+1,0)</f>
        <v/>
      </c>
      <c r="P102">
        <f>IF(E102=1,P101+1,0)</f>
        <v/>
      </c>
      <c r="Q102">
        <f>IF(F102=1,Q101+1,0)</f>
        <v/>
      </c>
      <c r="R102">
        <f>IF(G102=1,R101+1,0)</f>
        <v/>
      </c>
      <c r="S102">
        <f>IF(H102=1,S101+1,0)</f>
        <v/>
      </c>
      <c r="T102">
        <f>IF(I102=1,T101+1,0)</f>
        <v/>
      </c>
      <c r="U102">
        <f>IF(J102=1,U101+1,0)</f>
        <v/>
      </c>
      <c r="V102">
        <f>IF(K102=1,V101+1,0)</f>
        <v/>
      </c>
      <c r="W102">
        <f>IF(L102=1,W101+1,0)</f>
        <v/>
      </c>
      <c r="X102">
        <f>IF(M102=1,X101+1,0)</f>
        <v/>
      </c>
    </row>
    <row r="103">
      <c r="A103" s="58">
        <f>'Start Here'!$E$6+100</f>
        <v/>
      </c>
      <c r="B103" t="n">
        <v>15</v>
      </c>
      <c r="C103" t="inlineStr">
        <is>
          <t>WED</t>
        </is>
      </c>
      <c r="D103">
        <f>IF(AND(W15!E9&lt;&gt;"",W15!E9&lt;&gt;"✗"),1,0)</f>
        <v/>
      </c>
      <c r="E103">
        <f>IF(AND(W15!E10&lt;&gt;"",W15!E10&lt;&gt;"✗"),1,0)</f>
        <v/>
      </c>
      <c r="F103">
        <f>IF(AND(W15!E11&lt;&gt;"",W15!E11&lt;&gt;"✗"),1,0)</f>
        <v/>
      </c>
      <c r="G103">
        <f>IF(AND(W15!E12&lt;&gt;"",W15!E12&lt;&gt;"✗"),1,0)</f>
        <v/>
      </c>
      <c r="H103">
        <f>IF(AND(W15!E13&lt;&gt;"",W15!E13&lt;&gt;"✗"),1,0)</f>
        <v/>
      </c>
      <c r="I103">
        <f>IF(AND(W15!E14&lt;&gt;"",W15!E14&lt;&gt;"✗"),1,0)</f>
        <v/>
      </c>
      <c r="J103">
        <f>IF(AND(W15!E15&lt;&gt;"",W15!E15&lt;&gt;"✗"),1,0)</f>
        <v/>
      </c>
      <c r="K103">
        <f>IF(AND(W15!E16&lt;&gt;"",W15!E16&lt;&gt;"✗"),1,0)</f>
        <v/>
      </c>
      <c r="L103">
        <f>IF(AND(W15!E17&lt;&gt;"",W15!E17&lt;&gt;"✗"),1,0)</f>
        <v/>
      </c>
      <c r="M103">
        <f>IF(AND(W15!E18&lt;&gt;"",W15!E18&lt;&gt;"✗"),1,0)</f>
        <v/>
      </c>
      <c r="O103">
        <f>IF(D103=1,O102+1,0)</f>
        <v/>
      </c>
      <c r="P103">
        <f>IF(E103=1,P102+1,0)</f>
        <v/>
      </c>
      <c r="Q103">
        <f>IF(F103=1,Q102+1,0)</f>
        <v/>
      </c>
      <c r="R103">
        <f>IF(G103=1,R102+1,0)</f>
        <v/>
      </c>
      <c r="S103">
        <f>IF(H103=1,S102+1,0)</f>
        <v/>
      </c>
      <c r="T103">
        <f>IF(I103=1,T102+1,0)</f>
        <v/>
      </c>
      <c r="U103">
        <f>IF(J103=1,U102+1,0)</f>
        <v/>
      </c>
      <c r="V103">
        <f>IF(K103=1,V102+1,0)</f>
        <v/>
      </c>
      <c r="W103">
        <f>IF(L103=1,W102+1,0)</f>
        <v/>
      </c>
      <c r="X103">
        <f>IF(M103=1,X102+1,0)</f>
        <v/>
      </c>
    </row>
    <row r="104">
      <c r="A104" s="58">
        <f>'Start Here'!$E$6+101</f>
        <v/>
      </c>
      <c r="B104" t="n">
        <v>15</v>
      </c>
      <c r="C104" t="inlineStr">
        <is>
          <t>THU</t>
        </is>
      </c>
      <c r="D104">
        <f>IF(AND(W15!F9&lt;&gt;"",W15!F9&lt;&gt;"✗"),1,0)</f>
        <v/>
      </c>
      <c r="E104">
        <f>IF(AND(W15!F10&lt;&gt;"",W15!F10&lt;&gt;"✗"),1,0)</f>
        <v/>
      </c>
      <c r="F104">
        <f>IF(AND(W15!F11&lt;&gt;"",W15!F11&lt;&gt;"✗"),1,0)</f>
        <v/>
      </c>
      <c r="G104">
        <f>IF(AND(W15!F12&lt;&gt;"",W15!F12&lt;&gt;"✗"),1,0)</f>
        <v/>
      </c>
      <c r="H104">
        <f>IF(AND(W15!F13&lt;&gt;"",W15!F13&lt;&gt;"✗"),1,0)</f>
        <v/>
      </c>
      <c r="I104">
        <f>IF(AND(W15!F14&lt;&gt;"",W15!F14&lt;&gt;"✗"),1,0)</f>
        <v/>
      </c>
      <c r="J104">
        <f>IF(AND(W15!F15&lt;&gt;"",W15!F15&lt;&gt;"✗"),1,0)</f>
        <v/>
      </c>
      <c r="K104">
        <f>IF(AND(W15!F16&lt;&gt;"",W15!F16&lt;&gt;"✗"),1,0)</f>
        <v/>
      </c>
      <c r="L104">
        <f>IF(AND(W15!F17&lt;&gt;"",W15!F17&lt;&gt;"✗"),1,0)</f>
        <v/>
      </c>
      <c r="M104">
        <f>IF(AND(W15!F18&lt;&gt;"",W15!F18&lt;&gt;"✗"),1,0)</f>
        <v/>
      </c>
      <c r="O104">
        <f>IF(D104=1,O103+1,0)</f>
        <v/>
      </c>
      <c r="P104">
        <f>IF(E104=1,P103+1,0)</f>
        <v/>
      </c>
      <c r="Q104">
        <f>IF(F104=1,Q103+1,0)</f>
        <v/>
      </c>
      <c r="R104">
        <f>IF(G104=1,R103+1,0)</f>
        <v/>
      </c>
      <c r="S104">
        <f>IF(H104=1,S103+1,0)</f>
        <v/>
      </c>
      <c r="T104">
        <f>IF(I104=1,T103+1,0)</f>
        <v/>
      </c>
      <c r="U104">
        <f>IF(J104=1,U103+1,0)</f>
        <v/>
      </c>
      <c r="V104">
        <f>IF(K104=1,V103+1,0)</f>
        <v/>
      </c>
      <c r="W104">
        <f>IF(L104=1,W103+1,0)</f>
        <v/>
      </c>
      <c r="X104">
        <f>IF(M104=1,X103+1,0)</f>
        <v/>
      </c>
    </row>
    <row r="105">
      <c r="A105" s="58">
        <f>'Start Here'!$E$6+102</f>
        <v/>
      </c>
      <c r="B105" t="n">
        <v>15</v>
      </c>
      <c r="C105" t="inlineStr">
        <is>
          <t>FRI</t>
        </is>
      </c>
      <c r="D105">
        <f>IF(AND(W15!G9&lt;&gt;"",W15!G9&lt;&gt;"✗"),1,0)</f>
        <v/>
      </c>
      <c r="E105">
        <f>IF(AND(W15!G10&lt;&gt;"",W15!G10&lt;&gt;"✗"),1,0)</f>
        <v/>
      </c>
      <c r="F105">
        <f>IF(AND(W15!G11&lt;&gt;"",W15!G11&lt;&gt;"✗"),1,0)</f>
        <v/>
      </c>
      <c r="G105">
        <f>IF(AND(W15!G12&lt;&gt;"",W15!G12&lt;&gt;"✗"),1,0)</f>
        <v/>
      </c>
      <c r="H105">
        <f>IF(AND(W15!G13&lt;&gt;"",W15!G13&lt;&gt;"✗"),1,0)</f>
        <v/>
      </c>
      <c r="I105">
        <f>IF(AND(W15!G14&lt;&gt;"",W15!G14&lt;&gt;"✗"),1,0)</f>
        <v/>
      </c>
      <c r="J105">
        <f>IF(AND(W15!G15&lt;&gt;"",W15!G15&lt;&gt;"✗"),1,0)</f>
        <v/>
      </c>
      <c r="K105">
        <f>IF(AND(W15!G16&lt;&gt;"",W15!G16&lt;&gt;"✗"),1,0)</f>
        <v/>
      </c>
      <c r="L105">
        <f>IF(AND(W15!G17&lt;&gt;"",W15!G17&lt;&gt;"✗"),1,0)</f>
        <v/>
      </c>
      <c r="M105">
        <f>IF(AND(W15!G18&lt;&gt;"",W15!G18&lt;&gt;"✗"),1,0)</f>
        <v/>
      </c>
      <c r="O105">
        <f>IF(D105=1,O104+1,0)</f>
        <v/>
      </c>
      <c r="P105">
        <f>IF(E105=1,P104+1,0)</f>
        <v/>
      </c>
      <c r="Q105">
        <f>IF(F105=1,Q104+1,0)</f>
        <v/>
      </c>
      <c r="R105">
        <f>IF(G105=1,R104+1,0)</f>
        <v/>
      </c>
      <c r="S105">
        <f>IF(H105=1,S104+1,0)</f>
        <v/>
      </c>
      <c r="T105">
        <f>IF(I105=1,T104+1,0)</f>
        <v/>
      </c>
      <c r="U105">
        <f>IF(J105=1,U104+1,0)</f>
        <v/>
      </c>
      <c r="V105">
        <f>IF(K105=1,V104+1,0)</f>
        <v/>
      </c>
      <c r="W105">
        <f>IF(L105=1,W104+1,0)</f>
        <v/>
      </c>
      <c r="X105">
        <f>IF(M105=1,X104+1,0)</f>
        <v/>
      </c>
    </row>
    <row r="106">
      <c r="A106" s="58">
        <f>'Start Here'!$E$6+103</f>
        <v/>
      </c>
      <c r="B106" t="n">
        <v>15</v>
      </c>
      <c r="C106" t="inlineStr">
        <is>
          <t>SAT</t>
        </is>
      </c>
      <c r="D106">
        <f>IF(AND(W15!H9&lt;&gt;"",W15!H9&lt;&gt;"✗"),1,0)</f>
        <v/>
      </c>
      <c r="E106">
        <f>IF(AND(W15!H10&lt;&gt;"",W15!H10&lt;&gt;"✗"),1,0)</f>
        <v/>
      </c>
      <c r="F106">
        <f>IF(AND(W15!H11&lt;&gt;"",W15!H11&lt;&gt;"✗"),1,0)</f>
        <v/>
      </c>
      <c r="G106">
        <f>IF(AND(W15!H12&lt;&gt;"",W15!H12&lt;&gt;"✗"),1,0)</f>
        <v/>
      </c>
      <c r="H106">
        <f>IF(AND(W15!H13&lt;&gt;"",W15!H13&lt;&gt;"✗"),1,0)</f>
        <v/>
      </c>
      <c r="I106">
        <f>IF(AND(W15!H14&lt;&gt;"",W15!H14&lt;&gt;"✗"),1,0)</f>
        <v/>
      </c>
      <c r="J106">
        <f>IF(AND(W15!H15&lt;&gt;"",W15!H15&lt;&gt;"✗"),1,0)</f>
        <v/>
      </c>
      <c r="K106">
        <f>IF(AND(W15!H16&lt;&gt;"",W15!H16&lt;&gt;"✗"),1,0)</f>
        <v/>
      </c>
      <c r="L106">
        <f>IF(AND(W15!H17&lt;&gt;"",W15!H17&lt;&gt;"✗"),1,0)</f>
        <v/>
      </c>
      <c r="M106">
        <f>IF(AND(W15!H18&lt;&gt;"",W15!H18&lt;&gt;"✗"),1,0)</f>
        <v/>
      </c>
      <c r="O106">
        <f>IF(D106=1,O105+1,0)</f>
        <v/>
      </c>
      <c r="P106">
        <f>IF(E106=1,P105+1,0)</f>
        <v/>
      </c>
      <c r="Q106">
        <f>IF(F106=1,Q105+1,0)</f>
        <v/>
      </c>
      <c r="R106">
        <f>IF(G106=1,R105+1,0)</f>
        <v/>
      </c>
      <c r="S106">
        <f>IF(H106=1,S105+1,0)</f>
        <v/>
      </c>
      <c r="T106">
        <f>IF(I106=1,T105+1,0)</f>
        <v/>
      </c>
      <c r="U106">
        <f>IF(J106=1,U105+1,0)</f>
        <v/>
      </c>
      <c r="V106">
        <f>IF(K106=1,V105+1,0)</f>
        <v/>
      </c>
      <c r="W106">
        <f>IF(L106=1,W105+1,0)</f>
        <v/>
      </c>
      <c r="X106">
        <f>IF(M106=1,X105+1,0)</f>
        <v/>
      </c>
    </row>
    <row r="107">
      <c r="A107" s="58">
        <f>'Start Here'!$E$6+104</f>
        <v/>
      </c>
      <c r="B107" t="n">
        <v>15</v>
      </c>
      <c r="C107" t="inlineStr">
        <is>
          <t>SUN</t>
        </is>
      </c>
      <c r="D107">
        <f>IF(AND(W15!I9&lt;&gt;"",W15!I9&lt;&gt;"✗"),1,0)</f>
        <v/>
      </c>
      <c r="E107">
        <f>IF(AND(W15!I10&lt;&gt;"",W15!I10&lt;&gt;"✗"),1,0)</f>
        <v/>
      </c>
      <c r="F107">
        <f>IF(AND(W15!I11&lt;&gt;"",W15!I11&lt;&gt;"✗"),1,0)</f>
        <v/>
      </c>
      <c r="G107">
        <f>IF(AND(W15!I12&lt;&gt;"",W15!I12&lt;&gt;"✗"),1,0)</f>
        <v/>
      </c>
      <c r="H107">
        <f>IF(AND(W15!I13&lt;&gt;"",W15!I13&lt;&gt;"✗"),1,0)</f>
        <v/>
      </c>
      <c r="I107">
        <f>IF(AND(W15!I14&lt;&gt;"",W15!I14&lt;&gt;"✗"),1,0)</f>
        <v/>
      </c>
      <c r="J107">
        <f>IF(AND(W15!I15&lt;&gt;"",W15!I15&lt;&gt;"✗"),1,0)</f>
        <v/>
      </c>
      <c r="K107">
        <f>IF(AND(W15!I16&lt;&gt;"",W15!I16&lt;&gt;"✗"),1,0)</f>
        <v/>
      </c>
      <c r="L107">
        <f>IF(AND(W15!I17&lt;&gt;"",W15!I17&lt;&gt;"✗"),1,0)</f>
        <v/>
      </c>
      <c r="M107">
        <f>IF(AND(W15!I18&lt;&gt;"",W15!I18&lt;&gt;"✗"),1,0)</f>
        <v/>
      </c>
      <c r="O107">
        <f>IF(D107=1,O106+1,0)</f>
        <v/>
      </c>
      <c r="P107">
        <f>IF(E107=1,P106+1,0)</f>
        <v/>
      </c>
      <c r="Q107">
        <f>IF(F107=1,Q106+1,0)</f>
        <v/>
      </c>
      <c r="R107">
        <f>IF(G107=1,R106+1,0)</f>
        <v/>
      </c>
      <c r="S107">
        <f>IF(H107=1,S106+1,0)</f>
        <v/>
      </c>
      <c r="T107">
        <f>IF(I107=1,T106+1,0)</f>
        <v/>
      </c>
      <c r="U107">
        <f>IF(J107=1,U106+1,0)</f>
        <v/>
      </c>
      <c r="V107">
        <f>IF(K107=1,V106+1,0)</f>
        <v/>
      </c>
      <c r="W107">
        <f>IF(L107=1,W106+1,0)</f>
        <v/>
      </c>
      <c r="X107">
        <f>IF(M107=1,X106+1,0)</f>
        <v/>
      </c>
    </row>
    <row r="108">
      <c r="A108" s="58">
        <f>'Start Here'!$E$6+105</f>
        <v/>
      </c>
      <c r="B108" t="n">
        <v>16</v>
      </c>
      <c r="C108" t="inlineStr">
        <is>
          <t>MON</t>
        </is>
      </c>
      <c r="D108">
        <f>IF(AND(W16!C9&lt;&gt;"",W16!C9&lt;&gt;"✗"),1,0)</f>
        <v/>
      </c>
      <c r="E108">
        <f>IF(AND(W16!C10&lt;&gt;"",W16!C10&lt;&gt;"✗"),1,0)</f>
        <v/>
      </c>
      <c r="F108">
        <f>IF(AND(W16!C11&lt;&gt;"",W16!C11&lt;&gt;"✗"),1,0)</f>
        <v/>
      </c>
      <c r="G108">
        <f>IF(AND(W16!C12&lt;&gt;"",W16!C12&lt;&gt;"✗"),1,0)</f>
        <v/>
      </c>
      <c r="H108">
        <f>IF(AND(W16!C13&lt;&gt;"",W16!C13&lt;&gt;"✗"),1,0)</f>
        <v/>
      </c>
      <c r="I108">
        <f>IF(AND(W16!C14&lt;&gt;"",W16!C14&lt;&gt;"✗"),1,0)</f>
        <v/>
      </c>
      <c r="J108">
        <f>IF(AND(W16!C15&lt;&gt;"",W16!C15&lt;&gt;"✗"),1,0)</f>
        <v/>
      </c>
      <c r="K108">
        <f>IF(AND(W16!C16&lt;&gt;"",W16!C16&lt;&gt;"✗"),1,0)</f>
        <v/>
      </c>
      <c r="L108">
        <f>IF(AND(W16!C17&lt;&gt;"",W16!C17&lt;&gt;"✗"),1,0)</f>
        <v/>
      </c>
      <c r="M108">
        <f>IF(AND(W16!C18&lt;&gt;"",W16!C18&lt;&gt;"✗"),1,0)</f>
        <v/>
      </c>
      <c r="O108">
        <f>IF(D108=1,O107+1,0)</f>
        <v/>
      </c>
      <c r="P108">
        <f>IF(E108=1,P107+1,0)</f>
        <v/>
      </c>
      <c r="Q108">
        <f>IF(F108=1,Q107+1,0)</f>
        <v/>
      </c>
      <c r="R108">
        <f>IF(G108=1,R107+1,0)</f>
        <v/>
      </c>
      <c r="S108">
        <f>IF(H108=1,S107+1,0)</f>
        <v/>
      </c>
      <c r="T108">
        <f>IF(I108=1,T107+1,0)</f>
        <v/>
      </c>
      <c r="U108">
        <f>IF(J108=1,U107+1,0)</f>
        <v/>
      </c>
      <c r="V108">
        <f>IF(K108=1,V107+1,0)</f>
        <v/>
      </c>
      <c r="W108">
        <f>IF(L108=1,W107+1,0)</f>
        <v/>
      </c>
      <c r="X108">
        <f>IF(M108=1,X107+1,0)</f>
        <v/>
      </c>
    </row>
    <row r="109">
      <c r="A109" s="58">
        <f>'Start Here'!$E$6+106</f>
        <v/>
      </c>
      <c r="B109" t="n">
        <v>16</v>
      </c>
      <c r="C109" t="inlineStr">
        <is>
          <t>TUE</t>
        </is>
      </c>
      <c r="D109">
        <f>IF(AND(W16!D9&lt;&gt;"",W16!D9&lt;&gt;"✗"),1,0)</f>
        <v/>
      </c>
      <c r="E109">
        <f>IF(AND(W16!D10&lt;&gt;"",W16!D10&lt;&gt;"✗"),1,0)</f>
        <v/>
      </c>
      <c r="F109">
        <f>IF(AND(W16!D11&lt;&gt;"",W16!D11&lt;&gt;"✗"),1,0)</f>
        <v/>
      </c>
      <c r="G109">
        <f>IF(AND(W16!D12&lt;&gt;"",W16!D12&lt;&gt;"✗"),1,0)</f>
        <v/>
      </c>
      <c r="H109">
        <f>IF(AND(W16!D13&lt;&gt;"",W16!D13&lt;&gt;"✗"),1,0)</f>
        <v/>
      </c>
      <c r="I109">
        <f>IF(AND(W16!D14&lt;&gt;"",W16!D14&lt;&gt;"✗"),1,0)</f>
        <v/>
      </c>
      <c r="J109">
        <f>IF(AND(W16!D15&lt;&gt;"",W16!D15&lt;&gt;"✗"),1,0)</f>
        <v/>
      </c>
      <c r="K109">
        <f>IF(AND(W16!D16&lt;&gt;"",W16!D16&lt;&gt;"✗"),1,0)</f>
        <v/>
      </c>
      <c r="L109">
        <f>IF(AND(W16!D17&lt;&gt;"",W16!D17&lt;&gt;"✗"),1,0)</f>
        <v/>
      </c>
      <c r="M109">
        <f>IF(AND(W16!D18&lt;&gt;"",W16!D18&lt;&gt;"✗"),1,0)</f>
        <v/>
      </c>
      <c r="O109">
        <f>IF(D109=1,O108+1,0)</f>
        <v/>
      </c>
      <c r="P109">
        <f>IF(E109=1,P108+1,0)</f>
        <v/>
      </c>
      <c r="Q109">
        <f>IF(F109=1,Q108+1,0)</f>
        <v/>
      </c>
      <c r="R109">
        <f>IF(G109=1,R108+1,0)</f>
        <v/>
      </c>
      <c r="S109">
        <f>IF(H109=1,S108+1,0)</f>
        <v/>
      </c>
      <c r="T109">
        <f>IF(I109=1,T108+1,0)</f>
        <v/>
      </c>
      <c r="U109">
        <f>IF(J109=1,U108+1,0)</f>
        <v/>
      </c>
      <c r="V109">
        <f>IF(K109=1,V108+1,0)</f>
        <v/>
      </c>
      <c r="W109">
        <f>IF(L109=1,W108+1,0)</f>
        <v/>
      </c>
      <c r="X109">
        <f>IF(M109=1,X108+1,0)</f>
        <v/>
      </c>
    </row>
    <row r="110">
      <c r="A110" s="58">
        <f>'Start Here'!$E$6+107</f>
        <v/>
      </c>
      <c r="B110" t="n">
        <v>16</v>
      </c>
      <c r="C110" t="inlineStr">
        <is>
          <t>WED</t>
        </is>
      </c>
      <c r="D110">
        <f>IF(AND(W16!E9&lt;&gt;"",W16!E9&lt;&gt;"✗"),1,0)</f>
        <v/>
      </c>
      <c r="E110">
        <f>IF(AND(W16!E10&lt;&gt;"",W16!E10&lt;&gt;"✗"),1,0)</f>
        <v/>
      </c>
      <c r="F110">
        <f>IF(AND(W16!E11&lt;&gt;"",W16!E11&lt;&gt;"✗"),1,0)</f>
        <v/>
      </c>
      <c r="G110">
        <f>IF(AND(W16!E12&lt;&gt;"",W16!E12&lt;&gt;"✗"),1,0)</f>
        <v/>
      </c>
      <c r="H110">
        <f>IF(AND(W16!E13&lt;&gt;"",W16!E13&lt;&gt;"✗"),1,0)</f>
        <v/>
      </c>
      <c r="I110">
        <f>IF(AND(W16!E14&lt;&gt;"",W16!E14&lt;&gt;"✗"),1,0)</f>
        <v/>
      </c>
      <c r="J110">
        <f>IF(AND(W16!E15&lt;&gt;"",W16!E15&lt;&gt;"✗"),1,0)</f>
        <v/>
      </c>
      <c r="K110">
        <f>IF(AND(W16!E16&lt;&gt;"",W16!E16&lt;&gt;"✗"),1,0)</f>
        <v/>
      </c>
      <c r="L110">
        <f>IF(AND(W16!E17&lt;&gt;"",W16!E17&lt;&gt;"✗"),1,0)</f>
        <v/>
      </c>
      <c r="M110">
        <f>IF(AND(W16!E18&lt;&gt;"",W16!E18&lt;&gt;"✗"),1,0)</f>
        <v/>
      </c>
      <c r="O110">
        <f>IF(D110=1,O109+1,0)</f>
        <v/>
      </c>
      <c r="P110">
        <f>IF(E110=1,P109+1,0)</f>
        <v/>
      </c>
      <c r="Q110">
        <f>IF(F110=1,Q109+1,0)</f>
        <v/>
      </c>
      <c r="R110">
        <f>IF(G110=1,R109+1,0)</f>
        <v/>
      </c>
      <c r="S110">
        <f>IF(H110=1,S109+1,0)</f>
        <v/>
      </c>
      <c r="T110">
        <f>IF(I110=1,T109+1,0)</f>
        <v/>
      </c>
      <c r="U110">
        <f>IF(J110=1,U109+1,0)</f>
        <v/>
      </c>
      <c r="V110">
        <f>IF(K110=1,V109+1,0)</f>
        <v/>
      </c>
      <c r="W110">
        <f>IF(L110=1,W109+1,0)</f>
        <v/>
      </c>
      <c r="X110">
        <f>IF(M110=1,X109+1,0)</f>
        <v/>
      </c>
    </row>
    <row r="111">
      <c r="A111" s="58">
        <f>'Start Here'!$E$6+108</f>
        <v/>
      </c>
      <c r="B111" t="n">
        <v>16</v>
      </c>
      <c r="C111" t="inlineStr">
        <is>
          <t>THU</t>
        </is>
      </c>
      <c r="D111">
        <f>IF(AND(W16!F9&lt;&gt;"",W16!F9&lt;&gt;"✗"),1,0)</f>
        <v/>
      </c>
      <c r="E111">
        <f>IF(AND(W16!F10&lt;&gt;"",W16!F10&lt;&gt;"✗"),1,0)</f>
        <v/>
      </c>
      <c r="F111">
        <f>IF(AND(W16!F11&lt;&gt;"",W16!F11&lt;&gt;"✗"),1,0)</f>
        <v/>
      </c>
      <c r="G111">
        <f>IF(AND(W16!F12&lt;&gt;"",W16!F12&lt;&gt;"✗"),1,0)</f>
        <v/>
      </c>
      <c r="H111">
        <f>IF(AND(W16!F13&lt;&gt;"",W16!F13&lt;&gt;"✗"),1,0)</f>
        <v/>
      </c>
      <c r="I111">
        <f>IF(AND(W16!F14&lt;&gt;"",W16!F14&lt;&gt;"✗"),1,0)</f>
        <v/>
      </c>
      <c r="J111">
        <f>IF(AND(W16!F15&lt;&gt;"",W16!F15&lt;&gt;"✗"),1,0)</f>
        <v/>
      </c>
      <c r="K111">
        <f>IF(AND(W16!F16&lt;&gt;"",W16!F16&lt;&gt;"✗"),1,0)</f>
        <v/>
      </c>
      <c r="L111">
        <f>IF(AND(W16!F17&lt;&gt;"",W16!F17&lt;&gt;"✗"),1,0)</f>
        <v/>
      </c>
      <c r="M111">
        <f>IF(AND(W16!F18&lt;&gt;"",W16!F18&lt;&gt;"✗"),1,0)</f>
        <v/>
      </c>
      <c r="O111">
        <f>IF(D111=1,O110+1,0)</f>
        <v/>
      </c>
      <c r="P111">
        <f>IF(E111=1,P110+1,0)</f>
        <v/>
      </c>
      <c r="Q111">
        <f>IF(F111=1,Q110+1,0)</f>
        <v/>
      </c>
      <c r="R111">
        <f>IF(G111=1,R110+1,0)</f>
        <v/>
      </c>
      <c r="S111">
        <f>IF(H111=1,S110+1,0)</f>
        <v/>
      </c>
      <c r="T111">
        <f>IF(I111=1,T110+1,0)</f>
        <v/>
      </c>
      <c r="U111">
        <f>IF(J111=1,U110+1,0)</f>
        <v/>
      </c>
      <c r="V111">
        <f>IF(K111=1,V110+1,0)</f>
        <v/>
      </c>
      <c r="W111">
        <f>IF(L111=1,W110+1,0)</f>
        <v/>
      </c>
      <c r="X111">
        <f>IF(M111=1,X110+1,0)</f>
        <v/>
      </c>
    </row>
    <row r="112">
      <c r="A112" s="58">
        <f>'Start Here'!$E$6+109</f>
        <v/>
      </c>
      <c r="B112" t="n">
        <v>16</v>
      </c>
      <c r="C112" t="inlineStr">
        <is>
          <t>FRI</t>
        </is>
      </c>
      <c r="D112">
        <f>IF(AND(W16!G9&lt;&gt;"",W16!G9&lt;&gt;"✗"),1,0)</f>
        <v/>
      </c>
      <c r="E112">
        <f>IF(AND(W16!G10&lt;&gt;"",W16!G10&lt;&gt;"✗"),1,0)</f>
        <v/>
      </c>
      <c r="F112">
        <f>IF(AND(W16!G11&lt;&gt;"",W16!G11&lt;&gt;"✗"),1,0)</f>
        <v/>
      </c>
      <c r="G112">
        <f>IF(AND(W16!G12&lt;&gt;"",W16!G12&lt;&gt;"✗"),1,0)</f>
        <v/>
      </c>
      <c r="H112">
        <f>IF(AND(W16!G13&lt;&gt;"",W16!G13&lt;&gt;"✗"),1,0)</f>
        <v/>
      </c>
      <c r="I112">
        <f>IF(AND(W16!G14&lt;&gt;"",W16!G14&lt;&gt;"✗"),1,0)</f>
        <v/>
      </c>
      <c r="J112">
        <f>IF(AND(W16!G15&lt;&gt;"",W16!G15&lt;&gt;"✗"),1,0)</f>
        <v/>
      </c>
      <c r="K112">
        <f>IF(AND(W16!G16&lt;&gt;"",W16!G16&lt;&gt;"✗"),1,0)</f>
        <v/>
      </c>
      <c r="L112">
        <f>IF(AND(W16!G17&lt;&gt;"",W16!G17&lt;&gt;"✗"),1,0)</f>
        <v/>
      </c>
      <c r="M112">
        <f>IF(AND(W16!G18&lt;&gt;"",W16!G18&lt;&gt;"✗"),1,0)</f>
        <v/>
      </c>
      <c r="O112">
        <f>IF(D112=1,O111+1,0)</f>
        <v/>
      </c>
      <c r="P112">
        <f>IF(E112=1,P111+1,0)</f>
        <v/>
      </c>
      <c r="Q112">
        <f>IF(F112=1,Q111+1,0)</f>
        <v/>
      </c>
      <c r="R112">
        <f>IF(G112=1,R111+1,0)</f>
        <v/>
      </c>
      <c r="S112">
        <f>IF(H112=1,S111+1,0)</f>
        <v/>
      </c>
      <c r="T112">
        <f>IF(I112=1,T111+1,0)</f>
        <v/>
      </c>
      <c r="U112">
        <f>IF(J112=1,U111+1,0)</f>
        <v/>
      </c>
      <c r="V112">
        <f>IF(K112=1,V111+1,0)</f>
        <v/>
      </c>
      <c r="W112">
        <f>IF(L112=1,W111+1,0)</f>
        <v/>
      </c>
      <c r="X112">
        <f>IF(M112=1,X111+1,0)</f>
        <v/>
      </c>
    </row>
    <row r="113">
      <c r="A113" s="58">
        <f>'Start Here'!$E$6+110</f>
        <v/>
      </c>
      <c r="B113" t="n">
        <v>16</v>
      </c>
      <c r="C113" t="inlineStr">
        <is>
          <t>SAT</t>
        </is>
      </c>
      <c r="D113">
        <f>IF(AND(W16!H9&lt;&gt;"",W16!H9&lt;&gt;"✗"),1,0)</f>
        <v/>
      </c>
      <c r="E113">
        <f>IF(AND(W16!H10&lt;&gt;"",W16!H10&lt;&gt;"✗"),1,0)</f>
        <v/>
      </c>
      <c r="F113">
        <f>IF(AND(W16!H11&lt;&gt;"",W16!H11&lt;&gt;"✗"),1,0)</f>
        <v/>
      </c>
      <c r="G113">
        <f>IF(AND(W16!H12&lt;&gt;"",W16!H12&lt;&gt;"✗"),1,0)</f>
        <v/>
      </c>
      <c r="H113">
        <f>IF(AND(W16!H13&lt;&gt;"",W16!H13&lt;&gt;"✗"),1,0)</f>
        <v/>
      </c>
      <c r="I113">
        <f>IF(AND(W16!H14&lt;&gt;"",W16!H14&lt;&gt;"✗"),1,0)</f>
        <v/>
      </c>
      <c r="J113">
        <f>IF(AND(W16!H15&lt;&gt;"",W16!H15&lt;&gt;"✗"),1,0)</f>
        <v/>
      </c>
      <c r="K113">
        <f>IF(AND(W16!H16&lt;&gt;"",W16!H16&lt;&gt;"✗"),1,0)</f>
        <v/>
      </c>
      <c r="L113">
        <f>IF(AND(W16!H17&lt;&gt;"",W16!H17&lt;&gt;"✗"),1,0)</f>
        <v/>
      </c>
      <c r="M113">
        <f>IF(AND(W16!H18&lt;&gt;"",W16!H18&lt;&gt;"✗"),1,0)</f>
        <v/>
      </c>
      <c r="O113">
        <f>IF(D113=1,O112+1,0)</f>
        <v/>
      </c>
      <c r="P113">
        <f>IF(E113=1,P112+1,0)</f>
        <v/>
      </c>
      <c r="Q113">
        <f>IF(F113=1,Q112+1,0)</f>
        <v/>
      </c>
      <c r="R113">
        <f>IF(G113=1,R112+1,0)</f>
        <v/>
      </c>
      <c r="S113">
        <f>IF(H113=1,S112+1,0)</f>
        <v/>
      </c>
      <c r="T113">
        <f>IF(I113=1,T112+1,0)</f>
        <v/>
      </c>
      <c r="U113">
        <f>IF(J113=1,U112+1,0)</f>
        <v/>
      </c>
      <c r="V113">
        <f>IF(K113=1,V112+1,0)</f>
        <v/>
      </c>
      <c r="W113">
        <f>IF(L113=1,W112+1,0)</f>
        <v/>
      </c>
      <c r="X113">
        <f>IF(M113=1,X112+1,0)</f>
        <v/>
      </c>
    </row>
    <row r="114">
      <c r="A114" s="58">
        <f>'Start Here'!$E$6+111</f>
        <v/>
      </c>
      <c r="B114" t="n">
        <v>16</v>
      </c>
      <c r="C114" t="inlineStr">
        <is>
          <t>SUN</t>
        </is>
      </c>
      <c r="D114">
        <f>IF(AND(W16!I9&lt;&gt;"",W16!I9&lt;&gt;"✗"),1,0)</f>
        <v/>
      </c>
      <c r="E114">
        <f>IF(AND(W16!I10&lt;&gt;"",W16!I10&lt;&gt;"✗"),1,0)</f>
        <v/>
      </c>
      <c r="F114">
        <f>IF(AND(W16!I11&lt;&gt;"",W16!I11&lt;&gt;"✗"),1,0)</f>
        <v/>
      </c>
      <c r="G114">
        <f>IF(AND(W16!I12&lt;&gt;"",W16!I12&lt;&gt;"✗"),1,0)</f>
        <v/>
      </c>
      <c r="H114">
        <f>IF(AND(W16!I13&lt;&gt;"",W16!I13&lt;&gt;"✗"),1,0)</f>
        <v/>
      </c>
      <c r="I114">
        <f>IF(AND(W16!I14&lt;&gt;"",W16!I14&lt;&gt;"✗"),1,0)</f>
        <v/>
      </c>
      <c r="J114">
        <f>IF(AND(W16!I15&lt;&gt;"",W16!I15&lt;&gt;"✗"),1,0)</f>
        <v/>
      </c>
      <c r="K114">
        <f>IF(AND(W16!I16&lt;&gt;"",W16!I16&lt;&gt;"✗"),1,0)</f>
        <v/>
      </c>
      <c r="L114">
        <f>IF(AND(W16!I17&lt;&gt;"",W16!I17&lt;&gt;"✗"),1,0)</f>
        <v/>
      </c>
      <c r="M114">
        <f>IF(AND(W16!I18&lt;&gt;"",W16!I18&lt;&gt;"✗"),1,0)</f>
        <v/>
      </c>
      <c r="O114">
        <f>IF(D114=1,O113+1,0)</f>
        <v/>
      </c>
      <c r="P114">
        <f>IF(E114=1,P113+1,0)</f>
        <v/>
      </c>
      <c r="Q114">
        <f>IF(F114=1,Q113+1,0)</f>
        <v/>
      </c>
      <c r="R114">
        <f>IF(G114=1,R113+1,0)</f>
        <v/>
      </c>
      <c r="S114">
        <f>IF(H114=1,S113+1,0)</f>
        <v/>
      </c>
      <c r="T114">
        <f>IF(I114=1,T113+1,0)</f>
        <v/>
      </c>
      <c r="U114">
        <f>IF(J114=1,U113+1,0)</f>
        <v/>
      </c>
      <c r="V114">
        <f>IF(K114=1,V113+1,0)</f>
        <v/>
      </c>
      <c r="W114">
        <f>IF(L114=1,W113+1,0)</f>
        <v/>
      </c>
      <c r="X114">
        <f>IF(M114=1,X113+1,0)</f>
        <v/>
      </c>
    </row>
    <row r="115">
      <c r="A115" s="58">
        <f>'Start Here'!$E$6+112</f>
        <v/>
      </c>
      <c r="B115" t="n">
        <v>17</v>
      </c>
      <c r="C115" t="inlineStr">
        <is>
          <t>MON</t>
        </is>
      </c>
      <c r="D115">
        <f>IF(AND(W17!C9&lt;&gt;"",W17!C9&lt;&gt;"✗"),1,0)</f>
        <v/>
      </c>
      <c r="E115">
        <f>IF(AND(W17!C10&lt;&gt;"",W17!C10&lt;&gt;"✗"),1,0)</f>
        <v/>
      </c>
      <c r="F115">
        <f>IF(AND(W17!C11&lt;&gt;"",W17!C11&lt;&gt;"✗"),1,0)</f>
        <v/>
      </c>
      <c r="G115">
        <f>IF(AND(W17!C12&lt;&gt;"",W17!C12&lt;&gt;"✗"),1,0)</f>
        <v/>
      </c>
      <c r="H115">
        <f>IF(AND(W17!C13&lt;&gt;"",W17!C13&lt;&gt;"✗"),1,0)</f>
        <v/>
      </c>
      <c r="I115">
        <f>IF(AND(W17!C14&lt;&gt;"",W17!C14&lt;&gt;"✗"),1,0)</f>
        <v/>
      </c>
      <c r="J115">
        <f>IF(AND(W17!C15&lt;&gt;"",W17!C15&lt;&gt;"✗"),1,0)</f>
        <v/>
      </c>
      <c r="K115">
        <f>IF(AND(W17!C16&lt;&gt;"",W17!C16&lt;&gt;"✗"),1,0)</f>
        <v/>
      </c>
      <c r="L115">
        <f>IF(AND(W17!C17&lt;&gt;"",W17!C17&lt;&gt;"✗"),1,0)</f>
        <v/>
      </c>
      <c r="M115">
        <f>IF(AND(W17!C18&lt;&gt;"",W17!C18&lt;&gt;"✗"),1,0)</f>
        <v/>
      </c>
      <c r="O115">
        <f>IF(D115=1,O114+1,0)</f>
        <v/>
      </c>
      <c r="P115">
        <f>IF(E115=1,P114+1,0)</f>
        <v/>
      </c>
      <c r="Q115">
        <f>IF(F115=1,Q114+1,0)</f>
        <v/>
      </c>
      <c r="R115">
        <f>IF(G115=1,R114+1,0)</f>
        <v/>
      </c>
      <c r="S115">
        <f>IF(H115=1,S114+1,0)</f>
        <v/>
      </c>
      <c r="T115">
        <f>IF(I115=1,T114+1,0)</f>
        <v/>
      </c>
      <c r="U115">
        <f>IF(J115=1,U114+1,0)</f>
        <v/>
      </c>
      <c r="V115">
        <f>IF(K115=1,V114+1,0)</f>
        <v/>
      </c>
      <c r="W115">
        <f>IF(L115=1,W114+1,0)</f>
        <v/>
      </c>
      <c r="X115">
        <f>IF(M115=1,X114+1,0)</f>
        <v/>
      </c>
    </row>
    <row r="116">
      <c r="A116" s="58">
        <f>'Start Here'!$E$6+113</f>
        <v/>
      </c>
      <c r="B116" t="n">
        <v>17</v>
      </c>
      <c r="C116" t="inlineStr">
        <is>
          <t>TUE</t>
        </is>
      </c>
      <c r="D116">
        <f>IF(AND(W17!D9&lt;&gt;"",W17!D9&lt;&gt;"✗"),1,0)</f>
        <v/>
      </c>
      <c r="E116">
        <f>IF(AND(W17!D10&lt;&gt;"",W17!D10&lt;&gt;"✗"),1,0)</f>
        <v/>
      </c>
      <c r="F116">
        <f>IF(AND(W17!D11&lt;&gt;"",W17!D11&lt;&gt;"✗"),1,0)</f>
        <v/>
      </c>
      <c r="G116">
        <f>IF(AND(W17!D12&lt;&gt;"",W17!D12&lt;&gt;"✗"),1,0)</f>
        <v/>
      </c>
      <c r="H116">
        <f>IF(AND(W17!D13&lt;&gt;"",W17!D13&lt;&gt;"✗"),1,0)</f>
        <v/>
      </c>
      <c r="I116">
        <f>IF(AND(W17!D14&lt;&gt;"",W17!D14&lt;&gt;"✗"),1,0)</f>
        <v/>
      </c>
      <c r="J116">
        <f>IF(AND(W17!D15&lt;&gt;"",W17!D15&lt;&gt;"✗"),1,0)</f>
        <v/>
      </c>
      <c r="K116">
        <f>IF(AND(W17!D16&lt;&gt;"",W17!D16&lt;&gt;"✗"),1,0)</f>
        <v/>
      </c>
      <c r="L116">
        <f>IF(AND(W17!D17&lt;&gt;"",W17!D17&lt;&gt;"✗"),1,0)</f>
        <v/>
      </c>
      <c r="M116">
        <f>IF(AND(W17!D18&lt;&gt;"",W17!D18&lt;&gt;"✗"),1,0)</f>
        <v/>
      </c>
      <c r="O116">
        <f>IF(D116=1,O115+1,0)</f>
        <v/>
      </c>
      <c r="P116">
        <f>IF(E116=1,P115+1,0)</f>
        <v/>
      </c>
      <c r="Q116">
        <f>IF(F116=1,Q115+1,0)</f>
        <v/>
      </c>
      <c r="R116">
        <f>IF(G116=1,R115+1,0)</f>
        <v/>
      </c>
      <c r="S116">
        <f>IF(H116=1,S115+1,0)</f>
        <v/>
      </c>
      <c r="T116">
        <f>IF(I116=1,T115+1,0)</f>
        <v/>
      </c>
      <c r="U116">
        <f>IF(J116=1,U115+1,0)</f>
        <v/>
      </c>
      <c r="V116">
        <f>IF(K116=1,V115+1,0)</f>
        <v/>
      </c>
      <c r="W116">
        <f>IF(L116=1,W115+1,0)</f>
        <v/>
      </c>
      <c r="X116">
        <f>IF(M116=1,X115+1,0)</f>
        <v/>
      </c>
    </row>
    <row r="117">
      <c r="A117" s="58">
        <f>'Start Here'!$E$6+114</f>
        <v/>
      </c>
      <c r="B117" t="n">
        <v>17</v>
      </c>
      <c r="C117" t="inlineStr">
        <is>
          <t>WED</t>
        </is>
      </c>
      <c r="D117">
        <f>IF(AND(W17!E9&lt;&gt;"",W17!E9&lt;&gt;"✗"),1,0)</f>
        <v/>
      </c>
      <c r="E117">
        <f>IF(AND(W17!E10&lt;&gt;"",W17!E10&lt;&gt;"✗"),1,0)</f>
        <v/>
      </c>
      <c r="F117">
        <f>IF(AND(W17!E11&lt;&gt;"",W17!E11&lt;&gt;"✗"),1,0)</f>
        <v/>
      </c>
      <c r="G117">
        <f>IF(AND(W17!E12&lt;&gt;"",W17!E12&lt;&gt;"✗"),1,0)</f>
        <v/>
      </c>
      <c r="H117">
        <f>IF(AND(W17!E13&lt;&gt;"",W17!E13&lt;&gt;"✗"),1,0)</f>
        <v/>
      </c>
      <c r="I117">
        <f>IF(AND(W17!E14&lt;&gt;"",W17!E14&lt;&gt;"✗"),1,0)</f>
        <v/>
      </c>
      <c r="J117">
        <f>IF(AND(W17!E15&lt;&gt;"",W17!E15&lt;&gt;"✗"),1,0)</f>
        <v/>
      </c>
      <c r="K117">
        <f>IF(AND(W17!E16&lt;&gt;"",W17!E16&lt;&gt;"✗"),1,0)</f>
        <v/>
      </c>
      <c r="L117">
        <f>IF(AND(W17!E17&lt;&gt;"",W17!E17&lt;&gt;"✗"),1,0)</f>
        <v/>
      </c>
      <c r="M117">
        <f>IF(AND(W17!E18&lt;&gt;"",W17!E18&lt;&gt;"✗"),1,0)</f>
        <v/>
      </c>
      <c r="O117">
        <f>IF(D117=1,O116+1,0)</f>
        <v/>
      </c>
      <c r="P117">
        <f>IF(E117=1,P116+1,0)</f>
        <v/>
      </c>
      <c r="Q117">
        <f>IF(F117=1,Q116+1,0)</f>
        <v/>
      </c>
      <c r="R117">
        <f>IF(G117=1,R116+1,0)</f>
        <v/>
      </c>
      <c r="S117">
        <f>IF(H117=1,S116+1,0)</f>
        <v/>
      </c>
      <c r="T117">
        <f>IF(I117=1,T116+1,0)</f>
        <v/>
      </c>
      <c r="U117">
        <f>IF(J117=1,U116+1,0)</f>
        <v/>
      </c>
      <c r="V117">
        <f>IF(K117=1,V116+1,0)</f>
        <v/>
      </c>
      <c r="W117">
        <f>IF(L117=1,W116+1,0)</f>
        <v/>
      </c>
      <c r="X117">
        <f>IF(M117=1,X116+1,0)</f>
        <v/>
      </c>
    </row>
    <row r="118">
      <c r="A118" s="58">
        <f>'Start Here'!$E$6+115</f>
        <v/>
      </c>
      <c r="B118" t="n">
        <v>17</v>
      </c>
      <c r="C118" t="inlineStr">
        <is>
          <t>THU</t>
        </is>
      </c>
      <c r="D118">
        <f>IF(AND(W17!F9&lt;&gt;"",W17!F9&lt;&gt;"✗"),1,0)</f>
        <v/>
      </c>
      <c r="E118">
        <f>IF(AND(W17!F10&lt;&gt;"",W17!F10&lt;&gt;"✗"),1,0)</f>
        <v/>
      </c>
      <c r="F118">
        <f>IF(AND(W17!F11&lt;&gt;"",W17!F11&lt;&gt;"✗"),1,0)</f>
        <v/>
      </c>
      <c r="G118">
        <f>IF(AND(W17!F12&lt;&gt;"",W17!F12&lt;&gt;"✗"),1,0)</f>
        <v/>
      </c>
      <c r="H118">
        <f>IF(AND(W17!F13&lt;&gt;"",W17!F13&lt;&gt;"✗"),1,0)</f>
        <v/>
      </c>
      <c r="I118">
        <f>IF(AND(W17!F14&lt;&gt;"",W17!F14&lt;&gt;"✗"),1,0)</f>
        <v/>
      </c>
      <c r="J118">
        <f>IF(AND(W17!F15&lt;&gt;"",W17!F15&lt;&gt;"✗"),1,0)</f>
        <v/>
      </c>
      <c r="K118">
        <f>IF(AND(W17!F16&lt;&gt;"",W17!F16&lt;&gt;"✗"),1,0)</f>
        <v/>
      </c>
      <c r="L118">
        <f>IF(AND(W17!F17&lt;&gt;"",W17!F17&lt;&gt;"✗"),1,0)</f>
        <v/>
      </c>
      <c r="M118">
        <f>IF(AND(W17!F18&lt;&gt;"",W17!F18&lt;&gt;"✗"),1,0)</f>
        <v/>
      </c>
      <c r="O118">
        <f>IF(D118=1,O117+1,0)</f>
        <v/>
      </c>
      <c r="P118">
        <f>IF(E118=1,P117+1,0)</f>
        <v/>
      </c>
      <c r="Q118">
        <f>IF(F118=1,Q117+1,0)</f>
        <v/>
      </c>
      <c r="R118">
        <f>IF(G118=1,R117+1,0)</f>
        <v/>
      </c>
      <c r="S118">
        <f>IF(H118=1,S117+1,0)</f>
        <v/>
      </c>
      <c r="T118">
        <f>IF(I118=1,T117+1,0)</f>
        <v/>
      </c>
      <c r="U118">
        <f>IF(J118=1,U117+1,0)</f>
        <v/>
      </c>
      <c r="V118">
        <f>IF(K118=1,V117+1,0)</f>
        <v/>
      </c>
      <c r="W118">
        <f>IF(L118=1,W117+1,0)</f>
        <v/>
      </c>
      <c r="X118">
        <f>IF(M118=1,X117+1,0)</f>
        <v/>
      </c>
    </row>
    <row r="119">
      <c r="A119" s="58">
        <f>'Start Here'!$E$6+116</f>
        <v/>
      </c>
      <c r="B119" t="n">
        <v>17</v>
      </c>
      <c r="C119" t="inlineStr">
        <is>
          <t>FRI</t>
        </is>
      </c>
      <c r="D119">
        <f>IF(AND(W17!G9&lt;&gt;"",W17!G9&lt;&gt;"✗"),1,0)</f>
        <v/>
      </c>
      <c r="E119">
        <f>IF(AND(W17!G10&lt;&gt;"",W17!G10&lt;&gt;"✗"),1,0)</f>
        <v/>
      </c>
      <c r="F119">
        <f>IF(AND(W17!G11&lt;&gt;"",W17!G11&lt;&gt;"✗"),1,0)</f>
        <v/>
      </c>
      <c r="G119">
        <f>IF(AND(W17!G12&lt;&gt;"",W17!G12&lt;&gt;"✗"),1,0)</f>
        <v/>
      </c>
      <c r="H119">
        <f>IF(AND(W17!G13&lt;&gt;"",W17!G13&lt;&gt;"✗"),1,0)</f>
        <v/>
      </c>
      <c r="I119">
        <f>IF(AND(W17!G14&lt;&gt;"",W17!G14&lt;&gt;"✗"),1,0)</f>
        <v/>
      </c>
      <c r="J119">
        <f>IF(AND(W17!G15&lt;&gt;"",W17!G15&lt;&gt;"✗"),1,0)</f>
        <v/>
      </c>
      <c r="K119">
        <f>IF(AND(W17!G16&lt;&gt;"",W17!G16&lt;&gt;"✗"),1,0)</f>
        <v/>
      </c>
      <c r="L119">
        <f>IF(AND(W17!G17&lt;&gt;"",W17!G17&lt;&gt;"✗"),1,0)</f>
        <v/>
      </c>
      <c r="M119">
        <f>IF(AND(W17!G18&lt;&gt;"",W17!G18&lt;&gt;"✗"),1,0)</f>
        <v/>
      </c>
      <c r="O119">
        <f>IF(D119=1,O118+1,0)</f>
        <v/>
      </c>
      <c r="P119">
        <f>IF(E119=1,P118+1,0)</f>
        <v/>
      </c>
      <c r="Q119">
        <f>IF(F119=1,Q118+1,0)</f>
        <v/>
      </c>
      <c r="R119">
        <f>IF(G119=1,R118+1,0)</f>
        <v/>
      </c>
      <c r="S119">
        <f>IF(H119=1,S118+1,0)</f>
        <v/>
      </c>
      <c r="T119">
        <f>IF(I119=1,T118+1,0)</f>
        <v/>
      </c>
      <c r="U119">
        <f>IF(J119=1,U118+1,0)</f>
        <v/>
      </c>
      <c r="V119">
        <f>IF(K119=1,V118+1,0)</f>
        <v/>
      </c>
      <c r="W119">
        <f>IF(L119=1,W118+1,0)</f>
        <v/>
      </c>
      <c r="X119">
        <f>IF(M119=1,X118+1,0)</f>
        <v/>
      </c>
    </row>
    <row r="120">
      <c r="A120" s="58">
        <f>'Start Here'!$E$6+117</f>
        <v/>
      </c>
      <c r="B120" t="n">
        <v>17</v>
      </c>
      <c r="C120" t="inlineStr">
        <is>
          <t>SAT</t>
        </is>
      </c>
      <c r="D120">
        <f>IF(AND(W17!H9&lt;&gt;"",W17!H9&lt;&gt;"✗"),1,0)</f>
        <v/>
      </c>
      <c r="E120">
        <f>IF(AND(W17!H10&lt;&gt;"",W17!H10&lt;&gt;"✗"),1,0)</f>
        <v/>
      </c>
      <c r="F120">
        <f>IF(AND(W17!H11&lt;&gt;"",W17!H11&lt;&gt;"✗"),1,0)</f>
        <v/>
      </c>
      <c r="G120">
        <f>IF(AND(W17!H12&lt;&gt;"",W17!H12&lt;&gt;"✗"),1,0)</f>
        <v/>
      </c>
      <c r="H120">
        <f>IF(AND(W17!H13&lt;&gt;"",W17!H13&lt;&gt;"✗"),1,0)</f>
        <v/>
      </c>
      <c r="I120">
        <f>IF(AND(W17!H14&lt;&gt;"",W17!H14&lt;&gt;"✗"),1,0)</f>
        <v/>
      </c>
      <c r="J120">
        <f>IF(AND(W17!H15&lt;&gt;"",W17!H15&lt;&gt;"✗"),1,0)</f>
        <v/>
      </c>
      <c r="K120">
        <f>IF(AND(W17!H16&lt;&gt;"",W17!H16&lt;&gt;"✗"),1,0)</f>
        <v/>
      </c>
      <c r="L120">
        <f>IF(AND(W17!H17&lt;&gt;"",W17!H17&lt;&gt;"✗"),1,0)</f>
        <v/>
      </c>
      <c r="M120">
        <f>IF(AND(W17!H18&lt;&gt;"",W17!H18&lt;&gt;"✗"),1,0)</f>
        <v/>
      </c>
      <c r="O120">
        <f>IF(D120=1,O119+1,0)</f>
        <v/>
      </c>
      <c r="P120">
        <f>IF(E120=1,P119+1,0)</f>
        <v/>
      </c>
      <c r="Q120">
        <f>IF(F120=1,Q119+1,0)</f>
        <v/>
      </c>
      <c r="R120">
        <f>IF(G120=1,R119+1,0)</f>
        <v/>
      </c>
      <c r="S120">
        <f>IF(H120=1,S119+1,0)</f>
        <v/>
      </c>
      <c r="T120">
        <f>IF(I120=1,T119+1,0)</f>
        <v/>
      </c>
      <c r="U120">
        <f>IF(J120=1,U119+1,0)</f>
        <v/>
      </c>
      <c r="V120">
        <f>IF(K120=1,V119+1,0)</f>
        <v/>
      </c>
      <c r="W120">
        <f>IF(L120=1,W119+1,0)</f>
        <v/>
      </c>
      <c r="X120">
        <f>IF(M120=1,X119+1,0)</f>
        <v/>
      </c>
    </row>
    <row r="121">
      <c r="A121" s="58">
        <f>'Start Here'!$E$6+118</f>
        <v/>
      </c>
      <c r="B121" t="n">
        <v>17</v>
      </c>
      <c r="C121" t="inlineStr">
        <is>
          <t>SUN</t>
        </is>
      </c>
      <c r="D121">
        <f>IF(AND(W17!I9&lt;&gt;"",W17!I9&lt;&gt;"✗"),1,0)</f>
        <v/>
      </c>
      <c r="E121">
        <f>IF(AND(W17!I10&lt;&gt;"",W17!I10&lt;&gt;"✗"),1,0)</f>
        <v/>
      </c>
      <c r="F121">
        <f>IF(AND(W17!I11&lt;&gt;"",W17!I11&lt;&gt;"✗"),1,0)</f>
        <v/>
      </c>
      <c r="G121">
        <f>IF(AND(W17!I12&lt;&gt;"",W17!I12&lt;&gt;"✗"),1,0)</f>
        <v/>
      </c>
      <c r="H121">
        <f>IF(AND(W17!I13&lt;&gt;"",W17!I13&lt;&gt;"✗"),1,0)</f>
        <v/>
      </c>
      <c r="I121">
        <f>IF(AND(W17!I14&lt;&gt;"",W17!I14&lt;&gt;"✗"),1,0)</f>
        <v/>
      </c>
      <c r="J121">
        <f>IF(AND(W17!I15&lt;&gt;"",W17!I15&lt;&gt;"✗"),1,0)</f>
        <v/>
      </c>
      <c r="K121">
        <f>IF(AND(W17!I16&lt;&gt;"",W17!I16&lt;&gt;"✗"),1,0)</f>
        <v/>
      </c>
      <c r="L121">
        <f>IF(AND(W17!I17&lt;&gt;"",W17!I17&lt;&gt;"✗"),1,0)</f>
        <v/>
      </c>
      <c r="M121">
        <f>IF(AND(W17!I18&lt;&gt;"",W17!I18&lt;&gt;"✗"),1,0)</f>
        <v/>
      </c>
      <c r="O121">
        <f>IF(D121=1,O120+1,0)</f>
        <v/>
      </c>
      <c r="P121">
        <f>IF(E121=1,P120+1,0)</f>
        <v/>
      </c>
      <c r="Q121">
        <f>IF(F121=1,Q120+1,0)</f>
        <v/>
      </c>
      <c r="R121">
        <f>IF(G121=1,R120+1,0)</f>
        <v/>
      </c>
      <c r="S121">
        <f>IF(H121=1,S120+1,0)</f>
        <v/>
      </c>
      <c r="T121">
        <f>IF(I121=1,T120+1,0)</f>
        <v/>
      </c>
      <c r="U121">
        <f>IF(J121=1,U120+1,0)</f>
        <v/>
      </c>
      <c r="V121">
        <f>IF(K121=1,V120+1,0)</f>
        <v/>
      </c>
      <c r="W121">
        <f>IF(L121=1,W120+1,0)</f>
        <v/>
      </c>
      <c r="X121">
        <f>IF(M121=1,X120+1,0)</f>
        <v/>
      </c>
    </row>
    <row r="122">
      <c r="A122" s="58">
        <f>'Start Here'!$E$6+119</f>
        <v/>
      </c>
      <c r="B122" t="n">
        <v>18</v>
      </c>
      <c r="C122" t="inlineStr">
        <is>
          <t>MON</t>
        </is>
      </c>
      <c r="D122">
        <f>IF(AND(W18!C9&lt;&gt;"",W18!C9&lt;&gt;"✗"),1,0)</f>
        <v/>
      </c>
      <c r="E122">
        <f>IF(AND(W18!C10&lt;&gt;"",W18!C10&lt;&gt;"✗"),1,0)</f>
        <v/>
      </c>
      <c r="F122">
        <f>IF(AND(W18!C11&lt;&gt;"",W18!C11&lt;&gt;"✗"),1,0)</f>
        <v/>
      </c>
      <c r="G122">
        <f>IF(AND(W18!C12&lt;&gt;"",W18!C12&lt;&gt;"✗"),1,0)</f>
        <v/>
      </c>
      <c r="H122">
        <f>IF(AND(W18!C13&lt;&gt;"",W18!C13&lt;&gt;"✗"),1,0)</f>
        <v/>
      </c>
      <c r="I122">
        <f>IF(AND(W18!C14&lt;&gt;"",W18!C14&lt;&gt;"✗"),1,0)</f>
        <v/>
      </c>
      <c r="J122">
        <f>IF(AND(W18!C15&lt;&gt;"",W18!C15&lt;&gt;"✗"),1,0)</f>
        <v/>
      </c>
      <c r="K122">
        <f>IF(AND(W18!C16&lt;&gt;"",W18!C16&lt;&gt;"✗"),1,0)</f>
        <v/>
      </c>
      <c r="L122">
        <f>IF(AND(W18!C17&lt;&gt;"",W18!C17&lt;&gt;"✗"),1,0)</f>
        <v/>
      </c>
      <c r="M122">
        <f>IF(AND(W18!C18&lt;&gt;"",W18!C18&lt;&gt;"✗"),1,0)</f>
        <v/>
      </c>
      <c r="O122">
        <f>IF(D122=1,O121+1,0)</f>
        <v/>
      </c>
      <c r="P122">
        <f>IF(E122=1,P121+1,0)</f>
        <v/>
      </c>
      <c r="Q122">
        <f>IF(F122=1,Q121+1,0)</f>
        <v/>
      </c>
      <c r="R122">
        <f>IF(G122=1,R121+1,0)</f>
        <v/>
      </c>
      <c r="S122">
        <f>IF(H122=1,S121+1,0)</f>
        <v/>
      </c>
      <c r="T122">
        <f>IF(I122=1,T121+1,0)</f>
        <v/>
      </c>
      <c r="U122">
        <f>IF(J122=1,U121+1,0)</f>
        <v/>
      </c>
      <c r="V122">
        <f>IF(K122=1,V121+1,0)</f>
        <v/>
      </c>
      <c r="W122">
        <f>IF(L122=1,W121+1,0)</f>
        <v/>
      </c>
      <c r="X122">
        <f>IF(M122=1,X121+1,0)</f>
        <v/>
      </c>
    </row>
    <row r="123">
      <c r="A123" s="58">
        <f>'Start Here'!$E$6+120</f>
        <v/>
      </c>
      <c r="B123" t="n">
        <v>18</v>
      </c>
      <c r="C123" t="inlineStr">
        <is>
          <t>TUE</t>
        </is>
      </c>
      <c r="D123">
        <f>IF(AND(W18!D9&lt;&gt;"",W18!D9&lt;&gt;"✗"),1,0)</f>
        <v/>
      </c>
      <c r="E123">
        <f>IF(AND(W18!D10&lt;&gt;"",W18!D10&lt;&gt;"✗"),1,0)</f>
        <v/>
      </c>
      <c r="F123">
        <f>IF(AND(W18!D11&lt;&gt;"",W18!D11&lt;&gt;"✗"),1,0)</f>
        <v/>
      </c>
      <c r="G123">
        <f>IF(AND(W18!D12&lt;&gt;"",W18!D12&lt;&gt;"✗"),1,0)</f>
        <v/>
      </c>
      <c r="H123">
        <f>IF(AND(W18!D13&lt;&gt;"",W18!D13&lt;&gt;"✗"),1,0)</f>
        <v/>
      </c>
      <c r="I123">
        <f>IF(AND(W18!D14&lt;&gt;"",W18!D14&lt;&gt;"✗"),1,0)</f>
        <v/>
      </c>
      <c r="J123">
        <f>IF(AND(W18!D15&lt;&gt;"",W18!D15&lt;&gt;"✗"),1,0)</f>
        <v/>
      </c>
      <c r="K123">
        <f>IF(AND(W18!D16&lt;&gt;"",W18!D16&lt;&gt;"✗"),1,0)</f>
        <v/>
      </c>
      <c r="L123">
        <f>IF(AND(W18!D17&lt;&gt;"",W18!D17&lt;&gt;"✗"),1,0)</f>
        <v/>
      </c>
      <c r="M123">
        <f>IF(AND(W18!D18&lt;&gt;"",W18!D18&lt;&gt;"✗"),1,0)</f>
        <v/>
      </c>
      <c r="O123">
        <f>IF(D123=1,O122+1,0)</f>
        <v/>
      </c>
      <c r="P123">
        <f>IF(E123=1,P122+1,0)</f>
        <v/>
      </c>
      <c r="Q123">
        <f>IF(F123=1,Q122+1,0)</f>
        <v/>
      </c>
      <c r="R123">
        <f>IF(G123=1,R122+1,0)</f>
        <v/>
      </c>
      <c r="S123">
        <f>IF(H123=1,S122+1,0)</f>
        <v/>
      </c>
      <c r="T123">
        <f>IF(I123=1,T122+1,0)</f>
        <v/>
      </c>
      <c r="U123">
        <f>IF(J123=1,U122+1,0)</f>
        <v/>
      </c>
      <c r="V123">
        <f>IF(K123=1,V122+1,0)</f>
        <v/>
      </c>
      <c r="W123">
        <f>IF(L123=1,W122+1,0)</f>
        <v/>
      </c>
      <c r="X123">
        <f>IF(M123=1,X122+1,0)</f>
        <v/>
      </c>
    </row>
    <row r="124">
      <c r="A124" s="58">
        <f>'Start Here'!$E$6+121</f>
        <v/>
      </c>
      <c r="B124" t="n">
        <v>18</v>
      </c>
      <c r="C124" t="inlineStr">
        <is>
          <t>WED</t>
        </is>
      </c>
      <c r="D124">
        <f>IF(AND(W18!E9&lt;&gt;"",W18!E9&lt;&gt;"✗"),1,0)</f>
        <v/>
      </c>
      <c r="E124">
        <f>IF(AND(W18!E10&lt;&gt;"",W18!E10&lt;&gt;"✗"),1,0)</f>
        <v/>
      </c>
      <c r="F124">
        <f>IF(AND(W18!E11&lt;&gt;"",W18!E11&lt;&gt;"✗"),1,0)</f>
        <v/>
      </c>
      <c r="G124">
        <f>IF(AND(W18!E12&lt;&gt;"",W18!E12&lt;&gt;"✗"),1,0)</f>
        <v/>
      </c>
      <c r="H124">
        <f>IF(AND(W18!E13&lt;&gt;"",W18!E13&lt;&gt;"✗"),1,0)</f>
        <v/>
      </c>
      <c r="I124">
        <f>IF(AND(W18!E14&lt;&gt;"",W18!E14&lt;&gt;"✗"),1,0)</f>
        <v/>
      </c>
      <c r="J124">
        <f>IF(AND(W18!E15&lt;&gt;"",W18!E15&lt;&gt;"✗"),1,0)</f>
        <v/>
      </c>
      <c r="K124">
        <f>IF(AND(W18!E16&lt;&gt;"",W18!E16&lt;&gt;"✗"),1,0)</f>
        <v/>
      </c>
      <c r="L124">
        <f>IF(AND(W18!E17&lt;&gt;"",W18!E17&lt;&gt;"✗"),1,0)</f>
        <v/>
      </c>
      <c r="M124">
        <f>IF(AND(W18!E18&lt;&gt;"",W18!E18&lt;&gt;"✗"),1,0)</f>
        <v/>
      </c>
      <c r="O124">
        <f>IF(D124=1,O123+1,0)</f>
        <v/>
      </c>
      <c r="P124">
        <f>IF(E124=1,P123+1,0)</f>
        <v/>
      </c>
      <c r="Q124">
        <f>IF(F124=1,Q123+1,0)</f>
        <v/>
      </c>
      <c r="R124">
        <f>IF(G124=1,R123+1,0)</f>
        <v/>
      </c>
      <c r="S124">
        <f>IF(H124=1,S123+1,0)</f>
        <v/>
      </c>
      <c r="T124">
        <f>IF(I124=1,T123+1,0)</f>
        <v/>
      </c>
      <c r="U124">
        <f>IF(J124=1,U123+1,0)</f>
        <v/>
      </c>
      <c r="V124">
        <f>IF(K124=1,V123+1,0)</f>
        <v/>
      </c>
      <c r="W124">
        <f>IF(L124=1,W123+1,0)</f>
        <v/>
      </c>
      <c r="X124">
        <f>IF(M124=1,X123+1,0)</f>
        <v/>
      </c>
    </row>
    <row r="125">
      <c r="A125" s="58">
        <f>'Start Here'!$E$6+122</f>
        <v/>
      </c>
      <c r="B125" t="n">
        <v>18</v>
      </c>
      <c r="C125" t="inlineStr">
        <is>
          <t>THU</t>
        </is>
      </c>
      <c r="D125">
        <f>IF(AND(W18!F9&lt;&gt;"",W18!F9&lt;&gt;"✗"),1,0)</f>
        <v/>
      </c>
      <c r="E125">
        <f>IF(AND(W18!F10&lt;&gt;"",W18!F10&lt;&gt;"✗"),1,0)</f>
        <v/>
      </c>
      <c r="F125">
        <f>IF(AND(W18!F11&lt;&gt;"",W18!F11&lt;&gt;"✗"),1,0)</f>
        <v/>
      </c>
      <c r="G125">
        <f>IF(AND(W18!F12&lt;&gt;"",W18!F12&lt;&gt;"✗"),1,0)</f>
        <v/>
      </c>
      <c r="H125">
        <f>IF(AND(W18!F13&lt;&gt;"",W18!F13&lt;&gt;"✗"),1,0)</f>
        <v/>
      </c>
      <c r="I125">
        <f>IF(AND(W18!F14&lt;&gt;"",W18!F14&lt;&gt;"✗"),1,0)</f>
        <v/>
      </c>
      <c r="J125">
        <f>IF(AND(W18!F15&lt;&gt;"",W18!F15&lt;&gt;"✗"),1,0)</f>
        <v/>
      </c>
      <c r="K125">
        <f>IF(AND(W18!F16&lt;&gt;"",W18!F16&lt;&gt;"✗"),1,0)</f>
        <v/>
      </c>
      <c r="L125">
        <f>IF(AND(W18!F17&lt;&gt;"",W18!F17&lt;&gt;"✗"),1,0)</f>
        <v/>
      </c>
      <c r="M125">
        <f>IF(AND(W18!F18&lt;&gt;"",W18!F18&lt;&gt;"✗"),1,0)</f>
        <v/>
      </c>
      <c r="O125">
        <f>IF(D125=1,O124+1,0)</f>
        <v/>
      </c>
      <c r="P125">
        <f>IF(E125=1,P124+1,0)</f>
        <v/>
      </c>
      <c r="Q125">
        <f>IF(F125=1,Q124+1,0)</f>
        <v/>
      </c>
      <c r="R125">
        <f>IF(G125=1,R124+1,0)</f>
        <v/>
      </c>
      <c r="S125">
        <f>IF(H125=1,S124+1,0)</f>
        <v/>
      </c>
      <c r="T125">
        <f>IF(I125=1,T124+1,0)</f>
        <v/>
      </c>
      <c r="U125">
        <f>IF(J125=1,U124+1,0)</f>
        <v/>
      </c>
      <c r="V125">
        <f>IF(K125=1,V124+1,0)</f>
        <v/>
      </c>
      <c r="W125">
        <f>IF(L125=1,W124+1,0)</f>
        <v/>
      </c>
      <c r="X125">
        <f>IF(M125=1,X124+1,0)</f>
        <v/>
      </c>
    </row>
    <row r="126">
      <c r="A126" s="58">
        <f>'Start Here'!$E$6+123</f>
        <v/>
      </c>
      <c r="B126" t="n">
        <v>18</v>
      </c>
      <c r="C126" t="inlineStr">
        <is>
          <t>FRI</t>
        </is>
      </c>
      <c r="D126">
        <f>IF(AND(W18!G9&lt;&gt;"",W18!G9&lt;&gt;"✗"),1,0)</f>
        <v/>
      </c>
      <c r="E126">
        <f>IF(AND(W18!G10&lt;&gt;"",W18!G10&lt;&gt;"✗"),1,0)</f>
        <v/>
      </c>
      <c r="F126">
        <f>IF(AND(W18!G11&lt;&gt;"",W18!G11&lt;&gt;"✗"),1,0)</f>
        <v/>
      </c>
      <c r="G126">
        <f>IF(AND(W18!G12&lt;&gt;"",W18!G12&lt;&gt;"✗"),1,0)</f>
        <v/>
      </c>
      <c r="H126">
        <f>IF(AND(W18!G13&lt;&gt;"",W18!G13&lt;&gt;"✗"),1,0)</f>
        <v/>
      </c>
      <c r="I126">
        <f>IF(AND(W18!G14&lt;&gt;"",W18!G14&lt;&gt;"✗"),1,0)</f>
        <v/>
      </c>
      <c r="J126">
        <f>IF(AND(W18!G15&lt;&gt;"",W18!G15&lt;&gt;"✗"),1,0)</f>
        <v/>
      </c>
      <c r="K126">
        <f>IF(AND(W18!G16&lt;&gt;"",W18!G16&lt;&gt;"✗"),1,0)</f>
        <v/>
      </c>
      <c r="L126">
        <f>IF(AND(W18!G17&lt;&gt;"",W18!G17&lt;&gt;"✗"),1,0)</f>
        <v/>
      </c>
      <c r="M126">
        <f>IF(AND(W18!G18&lt;&gt;"",W18!G18&lt;&gt;"✗"),1,0)</f>
        <v/>
      </c>
      <c r="O126">
        <f>IF(D126=1,O125+1,0)</f>
        <v/>
      </c>
      <c r="P126">
        <f>IF(E126=1,P125+1,0)</f>
        <v/>
      </c>
      <c r="Q126">
        <f>IF(F126=1,Q125+1,0)</f>
        <v/>
      </c>
      <c r="R126">
        <f>IF(G126=1,R125+1,0)</f>
        <v/>
      </c>
      <c r="S126">
        <f>IF(H126=1,S125+1,0)</f>
        <v/>
      </c>
      <c r="T126">
        <f>IF(I126=1,T125+1,0)</f>
        <v/>
      </c>
      <c r="U126">
        <f>IF(J126=1,U125+1,0)</f>
        <v/>
      </c>
      <c r="V126">
        <f>IF(K126=1,V125+1,0)</f>
        <v/>
      </c>
      <c r="W126">
        <f>IF(L126=1,W125+1,0)</f>
        <v/>
      </c>
      <c r="X126">
        <f>IF(M126=1,X125+1,0)</f>
        <v/>
      </c>
    </row>
    <row r="127">
      <c r="A127" s="58">
        <f>'Start Here'!$E$6+124</f>
        <v/>
      </c>
      <c r="B127" t="n">
        <v>18</v>
      </c>
      <c r="C127" t="inlineStr">
        <is>
          <t>SAT</t>
        </is>
      </c>
      <c r="D127">
        <f>IF(AND(W18!H9&lt;&gt;"",W18!H9&lt;&gt;"✗"),1,0)</f>
        <v/>
      </c>
      <c r="E127">
        <f>IF(AND(W18!H10&lt;&gt;"",W18!H10&lt;&gt;"✗"),1,0)</f>
        <v/>
      </c>
      <c r="F127">
        <f>IF(AND(W18!H11&lt;&gt;"",W18!H11&lt;&gt;"✗"),1,0)</f>
        <v/>
      </c>
      <c r="G127">
        <f>IF(AND(W18!H12&lt;&gt;"",W18!H12&lt;&gt;"✗"),1,0)</f>
        <v/>
      </c>
      <c r="H127">
        <f>IF(AND(W18!H13&lt;&gt;"",W18!H13&lt;&gt;"✗"),1,0)</f>
        <v/>
      </c>
      <c r="I127">
        <f>IF(AND(W18!H14&lt;&gt;"",W18!H14&lt;&gt;"✗"),1,0)</f>
        <v/>
      </c>
      <c r="J127">
        <f>IF(AND(W18!H15&lt;&gt;"",W18!H15&lt;&gt;"✗"),1,0)</f>
        <v/>
      </c>
      <c r="K127">
        <f>IF(AND(W18!H16&lt;&gt;"",W18!H16&lt;&gt;"✗"),1,0)</f>
        <v/>
      </c>
      <c r="L127">
        <f>IF(AND(W18!H17&lt;&gt;"",W18!H17&lt;&gt;"✗"),1,0)</f>
        <v/>
      </c>
      <c r="M127">
        <f>IF(AND(W18!H18&lt;&gt;"",W18!H18&lt;&gt;"✗"),1,0)</f>
        <v/>
      </c>
      <c r="O127">
        <f>IF(D127=1,O126+1,0)</f>
        <v/>
      </c>
      <c r="P127">
        <f>IF(E127=1,P126+1,0)</f>
        <v/>
      </c>
      <c r="Q127">
        <f>IF(F127=1,Q126+1,0)</f>
        <v/>
      </c>
      <c r="R127">
        <f>IF(G127=1,R126+1,0)</f>
        <v/>
      </c>
      <c r="S127">
        <f>IF(H127=1,S126+1,0)</f>
        <v/>
      </c>
      <c r="T127">
        <f>IF(I127=1,T126+1,0)</f>
        <v/>
      </c>
      <c r="U127">
        <f>IF(J127=1,U126+1,0)</f>
        <v/>
      </c>
      <c r="V127">
        <f>IF(K127=1,V126+1,0)</f>
        <v/>
      </c>
      <c r="W127">
        <f>IF(L127=1,W126+1,0)</f>
        <v/>
      </c>
      <c r="X127">
        <f>IF(M127=1,X126+1,0)</f>
        <v/>
      </c>
    </row>
    <row r="128">
      <c r="A128" s="58">
        <f>'Start Here'!$E$6+125</f>
        <v/>
      </c>
      <c r="B128" t="n">
        <v>18</v>
      </c>
      <c r="C128" t="inlineStr">
        <is>
          <t>SUN</t>
        </is>
      </c>
      <c r="D128">
        <f>IF(AND(W18!I9&lt;&gt;"",W18!I9&lt;&gt;"✗"),1,0)</f>
        <v/>
      </c>
      <c r="E128">
        <f>IF(AND(W18!I10&lt;&gt;"",W18!I10&lt;&gt;"✗"),1,0)</f>
        <v/>
      </c>
      <c r="F128">
        <f>IF(AND(W18!I11&lt;&gt;"",W18!I11&lt;&gt;"✗"),1,0)</f>
        <v/>
      </c>
      <c r="G128">
        <f>IF(AND(W18!I12&lt;&gt;"",W18!I12&lt;&gt;"✗"),1,0)</f>
        <v/>
      </c>
      <c r="H128">
        <f>IF(AND(W18!I13&lt;&gt;"",W18!I13&lt;&gt;"✗"),1,0)</f>
        <v/>
      </c>
      <c r="I128">
        <f>IF(AND(W18!I14&lt;&gt;"",W18!I14&lt;&gt;"✗"),1,0)</f>
        <v/>
      </c>
      <c r="J128">
        <f>IF(AND(W18!I15&lt;&gt;"",W18!I15&lt;&gt;"✗"),1,0)</f>
        <v/>
      </c>
      <c r="K128">
        <f>IF(AND(W18!I16&lt;&gt;"",W18!I16&lt;&gt;"✗"),1,0)</f>
        <v/>
      </c>
      <c r="L128">
        <f>IF(AND(W18!I17&lt;&gt;"",W18!I17&lt;&gt;"✗"),1,0)</f>
        <v/>
      </c>
      <c r="M128">
        <f>IF(AND(W18!I18&lt;&gt;"",W18!I18&lt;&gt;"✗"),1,0)</f>
        <v/>
      </c>
      <c r="O128">
        <f>IF(D128=1,O127+1,0)</f>
        <v/>
      </c>
      <c r="P128">
        <f>IF(E128=1,P127+1,0)</f>
        <v/>
      </c>
      <c r="Q128">
        <f>IF(F128=1,Q127+1,0)</f>
        <v/>
      </c>
      <c r="R128">
        <f>IF(G128=1,R127+1,0)</f>
        <v/>
      </c>
      <c r="S128">
        <f>IF(H128=1,S127+1,0)</f>
        <v/>
      </c>
      <c r="T128">
        <f>IF(I128=1,T127+1,0)</f>
        <v/>
      </c>
      <c r="U128">
        <f>IF(J128=1,U127+1,0)</f>
        <v/>
      </c>
      <c r="V128">
        <f>IF(K128=1,V127+1,0)</f>
        <v/>
      </c>
      <c r="W128">
        <f>IF(L128=1,W127+1,0)</f>
        <v/>
      </c>
      <c r="X128">
        <f>IF(M128=1,X127+1,0)</f>
        <v/>
      </c>
    </row>
    <row r="129">
      <c r="A129" s="58">
        <f>'Start Here'!$E$6+126</f>
        <v/>
      </c>
      <c r="B129" t="n">
        <v>19</v>
      </c>
      <c r="C129" t="inlineStr">
        <is>
          <t>MON</t>
        </is>
      </c>
      <c r="D129">
        <f>IF(AND(W19!C9&lt;&gt;"",W19!C9&lt;&gt;"✗"),1,0)</f>
        <v/>
      </c>
      <c r="E129">
        <f>IF(AND(W19!C10&lt;&gt;"",W19!C10&lt;&gt;"✗"),1,0)</f>
        <v/>
      </c>
      <c r="F129">
        <f>IF(AND(W19!C11&lt;&gt;"",W19!C11&lt;&gt;"✗"),1,0)</f>
        <v/>
      </c>
      <c r="G129">
        <f>IF(AND(W19!C12&lt;&gt;"",W19!C12&lt;&gt;"✗"),1,0)</f>
        <v/>
      </c>
      <c r="H129">
        <f>IF(AND(W19!C13&lt;&gt;"",W19!C13&lt;&gt;"✗"),1,0)</f>
        <v/>
      </c>
      <c r="I129">
        <f>IF(AND(W19!C14&lt;&gt;"",W19!C14&lt;&gt;"✗"),1,0)</f>
        <v/>
      </c>
      <c r="J129">
        <f>IF(AND(W19!C15&lt;&gt;"",W19!C15&lt;&gt;"✗"),1,0)</f>
        <v/>
      </c>
      <c r="K129">
        <f>IF(AND(W19!C16&lt;&gt;"",W19!C16&lt;&gt;"✗"),1,0)</f>
        <v/>
      </c>
      <c r="L129">
        <f>IF(AND(W19!C17&lt;&gt;"",W19!C17&lt;&gt;"✗"),1,0)</f>
        <v/>
      </c>
      <c r="M129">
        <f>IF(AND(W19!C18&lt;&gt;"",W19!C18&lt;&gt;"✗"),1,0)</f>
        <v/>
      </c>
      <c r="O129">
        <f>IF(D129=1,O128+1,0)</f>
        <v/>
      </c>
      <c r="P129">
        <f>IF(E129=1,P128+1,0)</f>
        <v/>
      </c>
      <c r="Q129">
        <f>IF(F129=1,Q128+1,0)</f>
        <v/>
      </c>
      <c r="R129">
        <f>IF(G129=1,R128+1,0)</f>
        <v/>
      </c>
      <c r="S129">
        <f>IF(H129=1,S128+1,0)</f>
        <v/>
      </c>
      <c r="T129">
        <f>IF(I129=1,T128+1,0)</f>
        <v/>
      </c>
      <c r="U129">
        <f>IF(J129=1,U128+1,0)</f>
        <v/>
      </c>
      <c r="V129">
        <f>IF(K129=1,V128+1,0)</f>
        <v/>
      </c>
      <c r="W129">
        <f>IF(L129=1,W128+1,0)</f>
        <v/>
      </c>
      <c r="X129">
        <f>IF(M129=1,X128+1,0)</f>
        <v/>
      </c>
    </row>
    <row r="130">
      <c r="A130" s="58">
        <f>'Start Here'!$E$6+127</f>
        <v/>
      </c>
      <c r="B130" t="n">
        <v>19</v>
      </c>
      <c r="C130" t="inlineStr">
        <is>
          <t>TUE</t>
        </is>
      </c>
      <c r="D130">
        <f>IF(AND(W19!D9&lt;&gt;"",W19!D9&lt;&gt;"✗"),1,0)</f>
        <v/>
      </c>
      <c r="E130">
        <f>IF(AND(W19!D10&lt;&gt;"",W19!D10&lt;&gt;"✗"),1,0)</f>
        <v/>
      </c>
      <c r="F130">
        <f>IF(AND(W19!D11&lt;&gt;"",W19!D11&lt;&gt;"✗"),1,0)</f>
        <v/>
      </c>
      <c r="G130">
        <f>IF(AND(W19!D12&lt;&gt;"",W19!D12&lt;&gt;"✗"),1,0)</f>
        <v/>
      </c>
      <c r="H130">
        <f>IF(AND(W19!D13&lt;&gt;"",W19!D13&lt;&gt;"✗"),1,0)</f>
        <v/>
      </c>
      <c r="I130">
        <f>IF(AND(W19!D14&lt;&gt;"",W19!D14&lt;&gt;"✗"),1,0)</f>
        <v/>
      </c>
      <c r="J130">
        <f>IF(AND(W19!D15&lt;&gt;"",W19!D15&lt;&gt;"✗"),1,0)</f>
        <v/>
      </c>
      <c r="K130">
        <f>IF(AND(W19!D16&lt;&gt;"",W19!D16&lt;&gt;"✗"),1,0)</f>
        <v/>
      </c>
      <c r="L130">
        <f>IF(AND(W19!D17&lt;&gt;"",W19!D17&lt;&gt;"✗"),1,0)</f>
        <v/>
      </c>
      <c r="M130">
        <f>IF(AND(W19!D18&lt;&gt;"",W19!D18&lt;&gt;"✗"),1,0)</f>
        <v/>
      </c>
      <c r="O130">
        <f>IF(D130=1,O129+1,0)</f>
        <v/>
      </c>
      <c r="P130">
        <f>IF(E130=1,P129+1,0)</f>
        <v/>
      </c>
      <c r="Q130">
        <f>IF(F130=1,Q129+1,0)</f>
        <v/>
      </c>
      <c r="R130">
        <f>IF(G130=1,R129+1,0)</f>
        <v/>
      </c>
      <c r="S130">
        <f>IF(H130=1,S129+1,0)</f>
        <v/>
      </c>
      <c r="T130">
        <f>IF(I130=1,T129+1,0)</f>
        <v/>
      </c>
      <c r="U130">
        <f>IF(J130=1,U129+1,0)</f>
        <v/>
      </c>
      <c r="V130">
        <f>IF(K130=1,V129+1,0)</f>
        <v/>
      </c>
      <c r="W130">
        <f>IF(L130=1,W129+1,0)</f>
        <v/>
      </c>
      <c r="X130">
        <f>IF(M130=1,X129+1,0)</f>
        <v/>
      </c>
    </row>
    <row r="131">
      <c r="A131" s="58">
        <f>'Start Here'!$E$6+128</f>
        <v/>
      </c>
      <c r="B131" t="n">
        <v>19</v>
      </c>
      <c r="C131" t="inlineStr">
        <is>
          <t>WED</t>
        </is>
      </c>
      <c r="D131">
        <f>IF(AND(W19!E9&lt;&gt;"",W19!E9&lt;&gt;"✗"),1,0)</f>
        <v/>
      </c>
      <c r="E131">
        <f>IF(AND(W19!E10&lt;&gt;"",W19!E10&lt;&gt;"✗"),1,0)</f>
        <v/>
      </c>
      <c r="F131">
        <f>IF(AND(W19!E11&lt;&gt;"",W19!E11&lt;&gt;"✗"),1,0)</f>
        <v/>
      </c>
      <c r="G131">
        <f>IF(AND(W19!E12&lt;&gt;"",W19!E12&lt;&gt;"✗"),1,0)</f>
        <v/>
      </c>
      <c r="H131">
        <f>IF(AND(W19!E13&lt;&gt;"",W19!E13&lt;&gt;"✗"),1,0)</f>
        <v/>
      </c>
      <c r="I131">
        <f>IF(AND(W19!E14&lt;&gt;"",W19!E14&lt;&gt;"✗"),1,0)</f>
        <v/>
      </c>
      <c r="J131">
        <f>IF(AND(W19!E15&lt;&gt;"",W19!E15&lt;&gt;"✗"),1,0)</f>
        <v/>
      </c>
      <c r="K131">
        <f>IF(AND(W19!E16&lt;&gt;"",W19!E16&lt;&gt;"✗"),1,0)</f>
        <v/>
      </c>
      <c r="L131">
        <f>IF(AND(W19!E17&lt;&gt;"",W19!E17&lt;&gt;"✗"),1,0)</f>
        <v/>
      </c>
      <c r="M131">
        <f>IF(AND(W19!E18&lt;&gt;"",W19!E18&lt;&gt;"✗"),1,0)</f>
        <v/>
      </c>
      <c r="O131">
        <f>IF(D131=1,O130+1,0)</f>
        <v/>
      </c>
      <c r="P131">
        <f>IF(E131=1,P130+1,0)</f>
        <v/>
      </c>
      <c r="Q131">
        <f>IF(F131=1,Q130+1,0)</f>
        <v/>
      </c>
      <c r="R131">
        <f>IF(G131=1,R130+1,0)</f>
        <v/>
      </c>
      <c r="S131">
        <f>IF(H131=1,S130+1,0)</f>
        <v/>
      </c>
      <c r="T131">
        <f>IF(I131=1,T130+1,0)</f>
        <v/>
      </c>
      <c r="U131">
        <f>IF(J131=1,U130+1,0)</f>
        <v/>
      </c>
      <c r="V131">
        <f>IF(K131=1,V130+1,0)</f>
        <v/>
      </c>
      <c r="W131">
        <f>IF(L131=1,W130+1,0)</f>
        <v/>
      </c>
      <c r="X131">
        <f>IF(M131=1,X130+1,0)</f>
        <v/>
      </c>
    </row>
    <row r="132">
      <c r="A132" s="58">
        <f>'Start Here'!$E$6+129</f>
        <v/>
      </c>
      <c r="B132" t="n">
        <v>19</v>
      </c>
      <c r="C132" t="inlineStr">
        <is>
          <t>THU</t>
        </is>
      </c>
      <c r="D132">
        <f>IF(AND(W19!F9&lt;&gt;"",W19!F9&lt;&gt;"✗"),1,0)</f>
        <v/>
      </c>
      <c r="E132">
        <f>IF(AND(W19!F10&lt;&gt;"",W19!F10&lt;&gt;"✗"),1,0)</f>
        <v/>
      </c>
      <c r="F132">
        <f>IF(AND(W19!F11&lt;&gt;"",W19!F11&lt;&gt;"✗"),1,0)</f>
        <v/>
      </c>
      <c r="G132">
        <f>IF(AND(W19!F12&lt;&gt;"",W19!F12&lt;&gt;"✗"),1,0)</f>
        <v/>
      </c>
      <c r="H132">
        <f>IF(AND(W19!F13&lt;&gt;"",W19!F13&lt;&gt;"✗"),1,0)</f>
        <v/>
      </c>
      <c r="I132">
        <f>IF(AND(W19!F14&lt;&gt;"",W19!F14&lt;&gt;"✗"),1,0)</f>
        <v/>
      </c>
      <c r="J132">
        <f>IF(AND(W19!F15&lt;&gt;"",W19!F15&lt;&gt;"✗"),1,0)</f>
        <v/>
      </c>
      <c r="K132">
        <f>IF(AND(W19!F16&lt;&gt;"",W19!F16&lt;&gt;"✗"),1,0)</f>
        <v/>
      </c>
      <c r="L132">
        <f>IF(AND(W19!F17&lt;&gt;"",W19!F17&lt;&gt;"✗"),1,0)</f>
        <v/>
      </c>
      <c r="M132">
        <f>IF(AND(W19!F18&lt;&gt;"",W19!F18&lt;&gt;"✗"),1,0)</f>
        <v/>
      </c>
      <c r="O132">
        <f>IF(D132=1,O131+1,0)</f>
        <v/>
      </c>
      <c r="P132">
        <f>IF(E132=1,P131+1,0)</f>
        <v/>
      </c>
      <c r="Q132">
        <f>IF(F132=1,Q131+1,0)</f>
        <v/>
      </c>
      <c r="R132">
        <f>IF(G132=1,R131+1,0)</f>
        <v/>
      </c>
      <c r="S132">
        <f>IF(H132=1,S131+1,0)</f>
        <v/>
      </c>
      <c r="T132">
        <f>IF(I132=1,T131+1,0)</f>
        <v/>
      </c>
      <c r="U132">
        <f>IF(J132=1,U131+1,0)</f>
        <v/>
      </c>
      <c r="V132">
        <f>IF(K132=1,V131+1,0)</f>
        <v/>
      </c>
      <c r="W132">
        <f>IF(L132=1,W131+1,0)</f>
        <v/>
      </c>
      <c r="X132">
        <f>IF(M132=1,X131+1,0)</f>
        <v/>
      </c>
    </row>
    <row r="133">
      <c r="A133" s="58">
        <f>'Start Here'!$E$6+130</f>
        <v/>
      </c>
      <c r="B133" t="n">
        <v>19</v>
      </c>
      <c r="C133" t="inlineStr">
        <is>
          <t>FRI</t>
        </is>
      </c>
      <c r="D133">
        <f>IF(AND(W19!G9&lt;&gt;"",W19!G9&lt;&gt;"✗"),1,0)</f>
        <v/>
      </c>
      <c r="E133">
        <f>IF(AND(W19!G10&lt;&gt;"",W19!G10&lt;&gt;"✗"),1,0)</f>
        <v/>
      </c>
      <c r="F133">
        <f>IF(AND(W19!G11&lt;&gt;"",W19!G11&lt;&gt;"✗"),1,0)</f>
        <v/>
      </c>
      <c r="G133">
        <f>IF(AND(W19!G12&lt;&gt;"",W19!G12&lt;&gt;"✗"),1,0)</f>
        <v/>
      </c>
      <c r="H133">
        <f>IF(AND(W19!G13&lt;&gt;"",W19!G13&lt;&gt;"✗"),1,0)</f>
        <v/>
      </c>
      <c r="I133">
        <f>IF(AND(W19!G14&lt;&gt;"",W19!G14&lt;&gt;"✗"),1,0)</f>
        <v/>
      </c>
      <c r="J133">
        <f>IF(AND(W19!G15&lt;&gt;"",W19!G15&lt;&gt;"✗"),1,0)</f>
        <v/>
      </c>
      <c r="K133">
        <f>IF(AND(W19!G16&lt;&gt;"",W19!G16&lt;&gt;"✗"),1,0)</f>
        <v/>
      </c>
      <c r="L133">
        <f>IF(AND(W19!G17&lt;&gt;"",W19!G17&lt;&gt;"✗"),1,0)</f>
        <v/>
      </c>
      <c r="M133">
        <f>IF(AND(W19!G18&lt;&gt;"",W19!G18&lt;&gt;"✗"),1,0)</f>
        <v/>
      </c>
      <c r="O133">
        <f>IF(D133=1,O132+1,0)</f>
        <v/>
      </c>
      <c r="P133">
        <f>IF(E133=1,P132+1,0)</f>
        <v/>
      </c>
      <c r="Q133">
        <f>IF(F133=1,Q132+1,0)</f>
        <v/>
      </c>
      <c r="R133">
        <f>IF(G133=1,R132+1,0)</f>
        <v/>
      </c>
      <c r="S133">
        <f>IF(H133=1,S132+1,0)</f>
        <v/>
      </c>
      <c r="T133">
        <f>IF(I133=1,T132+1,0)</f>
        <v/>
      </c>
      <c r="U133">
        <f>IF(J133=1,U132+1,0)</f>
        <v/>
      </c>
      <c r="V133">
        <f>IF(K133=1,V132+1,0)</f>
        <v/>
      </c>
      <c r="W133">
        <f>IF(L133=1,W132+1,0)</f>
        <v/>
      </c>
      <c r="X133">
        <f>IF(M133=1,X132+1,0)</f>
        <v/>
      </c>
    </row>
    <row r="134">
      <c r="A134" s="58">
        <f>'Start Here'!$E$6+131</f>
        <v/>
      </c>
      <c r="B134" t="n">
        <v>19</v>
      </c>
      <c r="C134" t="inlineStr">
        <is>
          <t>SAT</t>
        </is>
      </c>
      <c r="D134">
        <f>IF(AND(W19!H9&lt;&gt;"",W19!H9&lt;&gt;"✗"),1,0)</f>
        <v/>
      </c>
      <c r="E134">
        <f>IF(AND(W19!H10&lt;&gt;"",W19!H10&lt;&gt;"✗"),1,0)</f>
        <v/>
      </c>
      <c r="F134">
        <f>IF(AND(W19!H11&lt;&gt;"",W19!H11&lt;&gt;"✗"),1,0)</f>
        <v/>
      </c>
      <c r="G134">
        <f>IF(AND(W19!H12&lt;&gt;"",W19!H12&lt;&gt;"✗"),1,0)</f>
        <v/>
      </c>
      <c r="H134">
        <f>IF(AND(W19!H13&lt;&gt;"",W19!H13&lt;&gt;"✗"),1,0)</f>
        <v/>
      </c>
      <c r="I134">
        <f>IF(AND(W19!H14&lt;&gt;"",W19!H14&lt;&gt;"✗"),1,0)</f>
        <v/>
      </c>
      <c r="J134">
        <f>IF(AND(W19!H15&lt;&gt;"",W19!H15&lt;&gt;"✗"),1,0)</f>
        <v/>
      </c>
      <c r="K134">
        <f>IF(AND(W19!H16&lt;&gt;"",W19!H16&lt;&gt;"✗"),1,0)</f>
        <v/>
      </c>
      <c r="L134">
        <f>IF(AND(W19!H17&lt;&gt;"",W19!H17&lt;&gt;"✗"),1,0)</f>
        <v/>
      </c>
      <c r="M134">
        <f>IF(AND(W19!H18&lt;&gt;"",W19!H18&lt;&gt;"✗"),1,0)</f>
        <v/>
      </c>
      <c r="O134">
        <f>IF(D134=1,O133+1,0)</f>
        <v/>
      </c>
      <c r="P134">
        <f>IF(E134=1,P133+1,0)</f>
        <v/>
      </c>
      <c r="Q134">
        <f>IF(F134=1,Q133+1,0)</f>
        <v/>
      </c>
      <c r="R134">
        <f>IF(G134=1,R133+1,0)</f>
        <v/>
      </c>
      <c r="S134">
        <f>IF(H134=1,S133+1,0)</f>
        <v/>
      </c>
      <c r="T134">
        <f>IF(I134=1,T133+1,0)</f>
        <v/>
      </c>
      <c r="U134">
        <f>IF(J134=1,U133+1,0)</f>
        <v/>
      </c>
      <c r="V134">
        <f>IF(K134=1,V133+1,0)</f>
        <v/>
      </c>
      <c r="W134">
        <f>IF(L134=1,W133+1,0)</f>
        <v/>
      </c>
      <c r="X134">
        <f>IF(M134=1,X133+1,0)</f>
        <v/>
      </c>
    </row>
    <row r="135">
      <c r="A135" s="58">
        <f>'Start Here'!$E$6+132</f>
        <v/>
      </c>
      <c r="B135" t="n">
        <v>19</v>
      </c>
      <c r="C135" t="inlineStr">
        <is>
          <t>SUN</t>
        </is>
      </c>
      <c r="D135">
        <f>IF(AND(W19!I9&lt;&gt;"",W19!I9&lt;&gt;"✗"),1,0)</f>
        <v/>
      </c>
      <c r="E135">
        <f>IF(AND(W19!I10&lt;&gt;"",W19!I10&lt;&gt;"✗"),1,0)</f>
        <v/>
      </c>
      <c r="F135">
        <f>IF(AND(W19!I11&lt;&gt;"",W19!I11&lt;&gt;"✗"),1,0)</f>
        <v/>
      </c>
      <c r="G135">
        <f>IF(AND(W19!I12&lt;&gt;"",W19!I12&lt;&gt;"✗"),1,0)</f>
        <v/>
      </c>
      <c r="H135">
        <f>IF(AND(W19!I13&lt;&gt;"",W19!I13&lt;&gt;"✗"),1,0)</f>
        <v/>
      </c>
      <c r="I135">
        <f>IF(AND(W19!I14&lt;&gt;"",W19!I14&lt;&gt;"✗"),1,0)</f>
        <v/>
      </c>
      <c r="J135">
        <f>IF(AND(W19!I15&lt;&gt;"",W19!I15&lt;&gt;"✗"),1,0)</f>
        <v/>
      </c>
      <c r="K135">
        <f>IF(AND(W19!I16&lt;&gt;"",W19!I16&lt;&gt;"✗"),1,0)</f>
        <v/>
      </c>
      <c r="L135">
        <f>IF(AND(W19!I17&lt;&gt;"",W19!I17&lt;&gt;"✗"),1,0)</f>
        <v/>
      </c>
      <c r="M135">
        <f>IF(AND(W19!I18&lt;&gt;"",W19!I18&lt;&gt;"✗"),1,0)</f>
        <v/>
      </c>
      <c r="O135">
        <f>IF(D135=1,O134+1,0)</f>
        <v/>
      </c>
      <c r="P135">
        <f>IF(E135=1,P134+1,0)</f>
        <v/>
      </c>
      <c r="Q135">
        <f>IF(F135=1,Q134+1,0)</f>
        <v/>
      </c>
      <c r="R135">
        <f>IF(G135=1,R134+1,0)</f>
        <v/>
      </c>
      <c r="S135">
        <f>IF(H135=1,S134+1,0)</f>
        <v/>
      </c>
      <c r="T135">
        <f>IF(I135=1,T134+1,0)</f>
        <v/>
      </c>
      <c r="U135">
        <f>IF(J135=1,U134+1,0)</f>
        <v/>
      </c>
      <c r="V135">
        <f>IF(K135=1,V134+1,0)</f>
        <v/>
      </c>
      <c r="W135">
        <f>IF(L135=1,W134+1,0)</f>
        <v/>
      </c>
      <c r="X135">
        <f>IF(M135=1,X134+1,0)</f>
        <v/>
      </c>
    </row>
    <row r="136">
      <c r="A136" s="58">
        <f>'Start Here'!$E$6+133</f>
        <v/>
      </c>
      <c r="B136" t="n">
        <v>20</v>
      </c>
      <c r="C136" t="inlineStr">
        <is>
          <t>MON</t>
        </is>
      </c>
      <c r="D136">
        <f>IF(AND(W20!C9&lt;&gt;"",W20!C9&lt;&gt;"✗"),1,0)</f>
        <v/>
      </c>
      <c r="E136">
        <f>IF(AND(W20!C10&lt;&gt;"",W20!C10&lt;&gt;"✗"),1,0)</f>
        <v/>
      </c>
      <c r="F136">
        <f>IF(AND(W20!C11&lt;&gt;"",W20!C11&lt;&gt;"✗"),1,0)</f>
        <v/>
      </c>
      <c r="G136">
        <f>IF(AND(W20!C12&lt;&gt;"",W20!C12&lt;&gt;"✗"),1,0)</f>
        <v/>
      </c>
      <c r="H136">
        <f>IF(AND(W20!C13&lt;&gt;"",W20!C13&lt;&gt;"✗"),1,0)</f>
        <v/>
      </c>
      <c r="I136">
        <f>IF(AND(W20!C14&lt;&gt;"",W20!C14&lt;&gt;"✗"),1,0)</f>
        <v/>
      </c>
      <c r="J136">
        <f>IF(AND(W20!C15&lt;&gt;"",W20!C15&lt;&gt;"✗"),1,0)</f>
        <v/>
      </c>
      <c r="K136">
        <f>IF(AND(W20!C16&lt;&gt;"",W20!C16&lt;&gt;"✗"),1,0)</f>
        <v/>
      </c>
      <c r="L136">
        <f>IF(AND(W20!C17&lt;&gt;"",W20!C17&lt;&gt;"✗"),1,0)</f>
        <v/>
      </c>
      <c r="M136">
        <f>IF(AND(W20!C18&lt;&gt;"",W20!C18&lt;&gt;"✗"),1,0)</f>
        <v/>
      </c>
      <c r="O136">
        <f>IF(D136=1,O135+1,0)</f>
        <v/>
      </c>
      <c r="P136">
        <f>IF(E136=1,P135+1,0)</f>
        <v/>
      </c>
      <c r="Q136">
        <f>IF(F136=1,Q135+1,0)</f>
        <v/>
      </c>
      <c r="R136">
        <f>IF(G136=1,R135+1,0)</f>
        <v/>
      </c>
      <c r="S136">
        <f>IF(H136=1,S135+1,0)</f>
        <v/>
      </c>
      <c r="T136">
        <f>IF(I136=1,T135+1,0)</f>
        <v/>
      </c>
      <c r="U136">
        <f>IF(J136=1,U135+1,0)</f>
        <v/>
      </c>
      <c r="V136">
        <f>IF(K136=1,V135+1,0)</f>
        <v/>
      </c>
      <c r="W136">
        <f>IF(L136=1,W135+1,0)</f>
        <v/>
      </c>
      <c r="X136">
        <f>IF(M136=1,X135+1,0)</f>
        <v/>
      </c>
    </row>
    <row r="137">
      <c r="A137" s="58">
        <f>'Start Here'!$E$6+134</f>
        <v/>
      </c>
      <c r="B137" t="n">
        <v>20</v>
      </c>
      <c r="C137" t="inlineStr">
        <is>
          <t>TUE</t>
        </is>
      </c>
      <c r="D137">
        <f>IF(AND(W20!D9&lt;&gt;"",W20!D9&lt;&gt;"✗"),1,0)</f>
        <v/>
      </c>
      <c r="E137">
        <f>IF(AND(W20!D10&lt;&gt;"",W20!D10&lt;&gt;"✗"),1,0)</f>
        <v/>
      </c>
      <c r="F137">
        <f>IF(AND(W20!D11&lt;&gt;"",W20!D11&lt;&gt;"✗"),1,0)</f>
        <v/>
      </c>
      <c r="G137">
        <f>IF(AND(W20!D12&lt;&gt;"",W20!D12&lt;&gt;"✗"),1,0)</f>
        <v/>
      </c>
      <c r="H137">
        <f>IF(AND(W20!D13&lt;&gt;"",W20!D13&lt;&gt;"✗"),1,0)</f>
        <v/>
      </c>
      <c r="I137">
        <f>IF(AND(W20!D14&lt;&gt;"",W20!D14&lt;&gt;"✗"),1,0)</f>
        <v/>
      </c>
      <c r="J137">
        <f>IF(AND(W20!D15&lt;&gt;"",W20!D15&lt;&gt;"✗"),1,0)</f>
        <v/>
      </c>
      <c r="K137">
        <f>IF(AND(W20!D16&lt;&gt;"",W20!D16&lt;&gt;"✗"),1,0)</f>
        <v/>
      </c>
      <c r="L137">
        <f>IF(AND(W20!D17&lt;&gt;"",W20!D17&lt;&gt;"✗"),1,0)</f>
        <v/>
      </c>
      <c r="M137">
        <f>IF(AND(W20!D18&lt;&gt;"",W20!D18&lt;&gt;"✗"),1,0)</f>
        <v/>
      </c>
      <c r="O137">
        <f>IF(D137=1,O136+1,0)</f>
        <v/>
      </c>
      <c r="P137">
        <f>IF(E137=1,P136+1,0)</f>
        <v/>
      </c>
      <c r="Q137">
        <f>IF(F137=1,Q136+1,0)</f>
        <v/>
      </c>
      <c r="R137">
        <f>IF(G137=1,R136+1,0)</f>
        <v/>
      </c>
      <c r="S137">
        <f>IF(H137=1,S136+1,0)</f>
        <v/>
      </c>
      <c r="T137">
        <f>IF(I137=1,T136+1,0)</f>
        <v/>
      </c>
      <c r="U137">
        <f>IF(J137=1,U136+1,0)</f>
        <v/>
      </c>
      <c r="V137">
        <f>IF(K137=1,V136+1,0)</f>
        <v/>
      </c>
      <c r="W137">
        <f>IF(L137=1,W136+1,0)</f>
        <v/>
      </c>
      <c r="X137">
        <f>IF(M137=1,X136+1,0)</f>
        <v/>
      </c>
    </row>
    <row r="138">
      <c r="A138" s="58">
        <f>'Start Here'!$E$6+135</f>
        <v/>
      </c>
      <c r="B138" t="n">
        <v>20</v>
      </c>
      <c r="C138" t="inlineStr">
        <is>
          <t>WED</t>
        </is>
      </c>
      <c r="D138">
        <f>IF(AND(W20!E9&lt;&gt;"",W20!E9&lt;&gt;"✗"),1,0)</f>
        <v/>
      </c>
      <c r="E138">
        <f>IF(AND(W20!E10&lt;&gt;"",W20!E10&lt;&gt;"✗"),1,0)</f>
        <v/>
      </c>
      <c r="F138">
        <f>IF(AND(W20!E11&lt;&gt;"",W20!E11&lt;&gt;"✗"),1,0)</f>
        <v/>
      </c>
      <c r="G138">
        <f>IF(AND(W20!E12&lt;&gt;"",W20!E12&lt;&gt;"✗"),1,0)</f>
        <v/>
      </c>
      <c r="H138">
        <f>IF(AND(W20!E13&lt;&gt;"",W20!E13&lt;&gt;"✗"),1,0)</f>
        <v/>
      </c>
      <c r="I138">
        <f>IF(AND(W20!E14&lt;&gt;"",W20!E14&lt;&gt;"✗"),1,0)</f>
        <v/>
      </c>
      <c r="J138">
        <f>IF(AND(W20!E15&lt;&gt;"",W20!E15&lt;&gt;"✗"),1,0)</f>
        <v/>
      </c>
      <c r="K138">
        <f>IF(AND(W20!E16&lt;&gt;"",W20!E16&lt;&gt;"✗"),1,0)</f>
        <v/>
      </c>
      <c r="L138">
        <f>IF(AND(W20!E17&lt;&gt;"",W20!E17&lt;&gt;"✗"),1,0)</f>
        <v/>
      </c>
      <c r="M138">
        <f>IF(AND(W20!E18&lt;&gt;"",W20!E18&lt;&gt;"✗"),1,0)</f>
        <v/>
      </c>
      <c r="O138">
        <f>IF(D138=1,O137+1,0)</f>
        <v/>
      </c>
      <c r="P138">
        <f>IF(E138=1,P137+1,0)</f>
        <v/>
      </c>
      <c r="Q138">
        <f>IF(F138=1,Q137+1,0)</f>
        <v/>
      </c>
      <c r="R138">
        <f>IF(G138=1,R137+1,0)</f>
        <v/>
      </c>
      <c r="S138">
        <f>IF(H138=1,S137+1,0)</f>
        <v/>
      </c>
      <c r="T138">
        <f>IF(I138=1,T137+1,0)</f>
        <v/>
      </c>
      <c r="U138">
        <f>IF(J138=1,U137+1,0)</f>
        <v/>
      </c>
      <c r="V138">
        <f>IF(K138=1,V137+1,0)</f>
        <v/>
      </c>
      <c r="W138">
        <f>IF(L138=1,W137+1,0)</f>
        <v/>
      </c>
      <c r="X138">
        <f>IF(M138=1,X137+1,0)</f>
        <v/>
      </c>
    </row>
    <row r="139">
      <c r="A139" s="58">
        <f>'Start Here'!$E$6+136</f>
        <v/>
      </c>
      <c r="B139" t="n">
        <v>20</v>
      </c>
      <c r="C139" t="inlineStr">
        <is>
          <t>THU</t>
        </is>
      </c>
      <c r="D139">
        <f>IF(AND(W20!F9&lt;&gt;"",W20!F9&lt;&gt;"✗"),1,0)</f>
        <v/>
      </c>
      <c r="E139">
        <f>IF(AND(W20!F10&lt;&gt;"",W20!F10&lt;&gt;"✗"),1,0)</f>
        <v/>
      </c>
      <c r="F139">
        <f>IF(AND(W20!F11&lt;&gt;"",W20!F11&lt;&gt;"✗"),1,0)</f>
        <v/>
      </c>
      <c r="G139">
        <f>IF(AND(W20!F12&lt;&gt;"",W20!F12&lt;&gt;"✗"),1,0)</f>
        <v/>
      </c>
      <c r="H139">
        <f>IF(AND(W20!F13&lt;&gt;"",W20!F13&lt;&gt;"✗"),1,0)</f>
        <v/>
      </c>
      <c r="I139">
        <f>IF(AND(W20!F14&lt;&gt;"",W20!F14&lt;&gt;"✗"),1,0)</f>
        <v/>
      </c>
      <c r="J139">
        <f>IF(AND(W20!F15&lt;&gt;"",W20!F15&lt;&gt;"✗"),1,0)</f>
        <v/>
      </c>
      <c r="K139">
        <f>IF(AND(W20!F16&lt;&gt;"",W20!F16&lt;&gt;"✗"),1,0)</f>
        <v/>
      </c>
      <c r="L139">
        <f>IF(AND(W20!F17&lt;&gt;"",W20!F17&lt;&gt;"✗"),1,0)</f>
        <v/>
      </c>
      <c r="M139">
        <f>IF(AND(W20!F18&lt;&gt;"",W20!F18&lt;&gt;"✗"),1,0)</f>
        <v/>
      </c>
      <c r="O139">
        <f>IF(D139=1,O138+1,0)</f>
        <v/>
      </c>
      <c r="P139">
        <f>IF(E139=1,P138+1,0)</f>
        <v/>
      </c>
      <c r="Q139">
        <f>IF(F139=1,Q138+1,0)</f>
        <v/>
      </c>
      <c r="R139">
        <f>IF(G139=1,R138+1,0)</f>
        <v/>
      </c>
      <c r="S139">
        <f>IF(H139=1,S138+1,0)</f>
        <v/>
      </c>
      <c r="T139">
        <f>IF(I139=1,T138+1,0)</f>
        <v/>
      </c>
      <c r="U139">
        <f>IF(J139=1,U138+1,0)</f>
        <v/>
      </c>
      <c r="V139">
        <f>IF(K139=1,V138+1,0)</f>
        <v/>
      </c>
      <c r="W139">
        <f>IF(L139=1,W138+1,0)</f>
        <v/>
      </c>
      <c r="X139">
        <f>IF(M139=1,X138+1,0)</f>
        <v/>
      </c>
    </row>
    <row r="140">
      <c r="A140" s="58">
        <f>'Start Here'!$E$6+137</f>
        <v/>
      </c>
      <c r="B140" t="n">
        <v>20</v>
      </c>
      <c r="C140" t="inlineStr">
        <is>
          <t>FRI</t>
        </is>
      </c>
      <c r="D140">
        <f>IF(AND(W20!G9&lt;&gt;"",W20!G9&lt;&gt;"✗"),1,0)</f>
        <v/>
      </c>
      <c r="E140">
        <f>IF(AND(W20!G10&lt;&gt;"",W20!G10&lt;&gt;"✗"),1,0)</f>
        <v/>
      </c>
      <c r="F140">
        <f>IF(AND(W20!G11&lt;&gt;"",W20!G11&lt;&gt;"✗"),1,0)</f>
        <v/>
      </c>
      <c r="G140">
        <f>IF(AND(W20!G12&lt;&gt;"",W20!G12&lt;&gt;"✗"),1,0)</f>
        <v/>
      </c>
      <c r="H140">
        <f>IF(AND(W20!G13&lt;&gt;"",W20!G13&lt;&gt;"✗"),1,0)</f>
        <v/>
      </c>
      <c r="I140">
        <f>IF(AND(W20!G14&lt;&gt;"",W20!G14&lt;&gt;"✗"),1,0)</f>
        <v/>
      </c>
      <c r="J140">
        <f>IF(AND(W20!G15&lt;&gt;"",W20!G15&lt;&gt;"✗"),1,0)</f>
        <v/>
      </c>
      <c r="K140">
        <f>IF(AND(W20!G16&lt;&gt;"",W20!G16&lt;&gt;"✗"),1,0)</f>
        <v/>
      </c>
      <c r="L140">
        <f>IF(AND(W20!G17&lt;&gt;"",W20!G17&lt;&gt;"✗"),1,0)</f>
        <v/>
      </c>
      <c r="M140">
        <f>IF(AND(W20!G18&lt;&gt;"",W20!G18&lt;&gt;"✗"),1,0)</f>
        <v/>
      </c>
      <c r="O140">
        <f>IF(D140=1,O139+1,0)</f>
        <v/>
      </c>
      <c r="P140">
        <f>IF(E140=1,P139+1,0)</f>
        <v/>
      </c>
      <c r="Q140">
        <f>IF(F140=1,Q139+1,0)</f>
        <v/>
      </c>
      <c r="R140">
        <f>IF(G140=1,R139+1,0)</f>
        <v/>
      </c>
      <c r="S140">
        <f>IF(H140=1,S139+1,0)</f>
        <v/>
      </c>
      <c r="T140">
        <f>IF(I140=1,T139+1,0)</f>
        <v/>
      </c>
      <c r="U140">
        <f>IF(J140=1,U139+1,0)</f>
        <v/>
      </c>
      <c r="V140">
        <f>IF(K140=1,V139+1,0)</f>
        <v/>
      </c>
      <c r="W140">
        <f>IF(L140=1,W139+1,0)</f>
        <v/>
      </c>
      <c r="X140">
        <f>IF(M140=1,X139+1,0)</f>
        <v/>
      </c>
    </row>
    <row r="141">
      <c r="A141" s="58">
        <f>'Start Here'!$E$6+138</f>
        <v/>
      </c>
      <c r="B141" t="n">
        <v>20</v>
      </c>
      <c r="C141" t="inlineStr">
        <is>
          <t>SAT</t>
        </is>
      </c>
      <c r="D141">
        <f>IF(AND(W20!H9&lt;&gt;"",W20!H9&lt;&gt;"✗"),1,0)</f>
        <v/>
      </c>
      <c r="E141">
        <f>IF(AND(W20!H10&lt;&gt;"",W20!H10&lt;&gt;"✗"),1,0)</f>
        <v/>
      </c>
      <c r="F141">
        <f>IF(AND(W20!H11&lt;&gt;"",W20!H11&lt;&gt;"✗"),1,0)</f>
        <v/>
      </c>
      <c r="G141">
        <f>IF(AND(W20!H12&lt;&gt;"",W20!H12&lt;&gt;"✗"),1,0)</f>
        <v/>
      </c>
      <c r="H141">
        <f>IF(AND(W20!H13&lt;&gt;"",W20!H13&lt;&gt;"✗"),1,0)</f>
        <v/>
      </c>
      <c r="I141">
        <f>IF(AND(W20!H14&lt;&gt;"",W20!H14&lt;&gt;"✗"),1,0)</f>
        <v/>
      </c>
      <c r="J141">
        <f>IF(AND(W20!H15&lt;&gt;"",W20!H15&lt;&gt;"✗"),1,0)</f>
        <v/>
      </c>
      <c r="K141">
        <f>IF(AND(W20!H16&lt;&gt;"",W20!H16&lt;&gt;"✗"),1,0)</f>
        <v/>
      </c>
      <c r="L141">
        <f>IF(AND(W20!H17&lt;&gt;"",W20!H17&lt;&gt;"✗"),1,0)</f>
        <v/>
      </c>
      <c r="M141">
        <f>IF(AND(W20!H18&lt;&gt;"",W20!H18&lt;&gt;"✗"),1,0)</f>
        <v/>
      </c>
      <c r="O141">
        <f>IF(D141=1,O140+1,0)</f>
        <v/>
      </c>
      <c r="P141">
        <f>IF(E141=1,P140+1,0)</f>
        <v/>
      </c>
      <c r="Q141">
        <f>IF(F141=1,Q140+1,0)</f>
        <v/>
      </c>
      <c r="R141">
        <f>IF(G141=1,R140+1,0)</f>
        <v/>
      </c>
      <c r="S141">
        <f>IF(H141=1,S140+1,0)</f>
        <v/>
      </c>
      <c r="T141">
        <f>IF(I141=1,T140+1,0)</f>
        <v/>
      </c>
      <c r="U141">
        <f>IF(J141=1,U140+1,0)</f>
        <v/>
      </c>
      <c r="V141">
        <f>IF(K141=1,V140+1,0)</f>
        <v/>
      </c>
      <c r="W141">
        <f>IF(L141=1,W140+1,0)</f>
        <v/>
      </c>
      <c r="X141">
        <f>IF(M141=1,X140+1,0)</f>
        <v/>
      </c>
    </row>
    <row r="142">
      <c r="A142" s="58">
        <f>'Start Here'!$E$6+139</f>
        <v/>
      </c>
      <c r="B142" t="n">
        <v>20</v>
      </c>
      <c r="C142" t="inlineStr">
        <is>
          <t>SUN</t>
        </is>
      </c>
      <c r="D142">
        <f>IF(AND(W20!I9&lt;&gt;"",W20!I9&lt;&gt;"✗"),1,0)</f>
        <v/>
      </c>
      <c r="E142">
        <f>IF(AND(W20!I10&lt;&gt;"",W20!I10&lt;&gt;"✗"),1,0)</f>
        <v/>
      </c>
      <c r="F142">
        <f>IF(AND(W20!I11&lt;&gt;"",W20!I11&lt;&gt;"✗"),1,0)</f>
        <v/>
      </c>
      <c r="G142">
        <f>IF(AND(W20!I12&lt;&gt;"",W20!I12&lt;&gt;"✗"),1,0)</f>
        <v/>
      </c>
      <c r="H142">
        <f>IF(AND(W20!I13&lt;&gt;"",W20!I13&lt;&gt;"✗"),1,0)</f>
        <v/>
      </c>
      <c r="I142">
        <f>IF(AND(W20!I14&lt;&gt;"",W20!I14&lt;&gt;"✗"),1,0)</f>
        <v/>
      </c>
      <c r="J142">
        <f>IF(AND(W20!I15&lt;&gt;"",W20!I15&lt;&gt;"✗"),1,0)</f>
        <v/>
      </c>
      <c r="K142">
        <f>IF(AND(W20!I16&lt;&gt;"",W20!I16&lt;&gt;"✗"),1,0)</f>
        <v/>
      </c>
      <c r="L142">
        <f>IF(AND(W20!I17&lt;&gt;"",W20!I17&lt;&gt;"✗"),1,0)</f>
        <v/>
      </c>
      <c r="M142">
        <f>IF(AND(W20!I18&lt;&gt;"",W20!I18&lt;&gt;"✗"),1,0)</f>
        <v/>
      </c>
      <c r="O142">
        <f>IF(D142=1,O141+1,0)</f>
        <v/>
      </c>
      <c r="P142">
        <f>IF(E142=1,P141+1,0)</f>
        <v/>
      </c>
      <c r="Q142">
        <f>IF(F142=1,Q141+1,0)</f>
        <v/>
      </c>
      <c r="R142">
        <f>IF(G142=1,R141+1,0)</f>
        <v/>
      </c>
      <c r="S142">
        <f>IF(H142=1,S141+1,0)</f>
        <v/>
      </c>
      <c r="T142">
        <f>IF(I142=1,T141+1,0)</f>
        <v/>
      </c>
      <c r="U142">
        <f>IF(J142=1,U141+1,0)</f>
        <v/>
      </c>
      <c r="V142">
        <f>IF(K142=1,V141+1,0)</f>
        <v/>
      </c>
      <c r="W142">
        <f>IF(L142=1,W141+1,0)</f>
        <v/>
      </c>
      <c r="X142">
        <f>IF(M142=1,X141+1,0)</f>
        <v/>
      </c>
    </row>
    <row r="143">
      <c r="A143" s="58">
        <f>'Start Here'!$E$6+140</f>
        <v/>
      </c>
      <c r="B143" t="n">
        <v>21</v>
      </c>
      <c r="C143" t="inlineStr">
        <is>
          <t>MON</t>
        </is>
      </c>
      <c r="D143">
        <f>IF(AND(W21!C9&lt;&gt;"",W21!C9&lt;&gt;"✗"),1,0)</f>
        <v/>
      </c>
      <c r="E143">
        <f>IF(AND(W21!C10&lt;&gt;"",W21!C10&lt;&gt;"✗"),1,0)</f>
        <v/>
      </c>
      <c r="F143">
        <f>IF(AND(W21!C11&lt;&gt;"",W21!C11&lt;&gt;"✗"),1,0)</f>
        <v/>
      </c>
      <c r="G143">
        <f>IF(AND(W21!C12&lt;&gt;"",W21!C12&lt;&gt;"✗"),1,0)</f>
        <v/>
      </c>
      <c r="H143">
        <f>IF(AND(W21!C13&lt;&gt;"",W21!C13&lt;&gt;"✗"),1,0)</f>
        <v/>
      </c>
      <c r="I143">
        <f>IF(AND(W21!C14&lt;&gt;"",W21!C14&lt;&gt;"✗"),1,0)</f>
        <v/>
      </c>
      <c r="J143">
        <f>IF(AND(W21!C15&lt;&gt;"",W21!C15&lt;&gt;"✗"),1,0)</f>
        <v/>
      </c>
      <c r="K143">
        <f>IF(AND(W21!C16&lt;&gt;"",W21!C16&lt;&gt;"✗"),1,0)</f>
        <v/>
      </c>
      <c r="L143">
        <f>IF(AND(W21!C17&lt;&gt;"",W21!C17&lt;&gt;"✗"),1,0)</f>
        <v/>
      </c>
      <c r="M143">
        <f>IF(AND(W21!C18&lt;&gt;"",W21!C18&lt;&gt;"✗"),1,0)</f>
        <v/>
      </c>
      <c r="O143">
        <f>IF(D143=1,O142+1,0)</f>
        <v/>
      </c>
      <c r="P143">
        <f>IF(E143=1,P142+1,0)</f>
        <v/>
      </c>
      <c r="Q143">
        <f>IF(F143=1,Q142+1,0)</f>
        <v/>
      </c>
      <c r="R143">
        <f>IF(G143=1,R142+1,0)</f>
        <v/>
      </c>
      <c r="S143">
        <f>IF(H143=1,S142+1,0)</f>
        <v/>
      </c>
      <c r="T143">
        <f>IF(I143=1,T142+1,0)</f>
        <v/>
      </c>
      <c r="U143">
        <f>IF(J143=1,U142+1,0)</f>
        <v/>
      </c>
      <c r="V143">
        <f>IF(K143=1,V142+1,0)</f>
        <v/>
      </c>
      <c r="W143">
        <f>IF(L143=1,W142+1,0)</f>
        <v/>
      </c>
      <c r="X143">
        <f>IF(M143=1,X142+1,0)</f>
        <v/>
      </c>
    </row>
    <row r="144">
      <c r="A144" s="58">
        <f>'Start Here'!$E$6+141</f>
        <v/>
      </c>
      <c r="B144" t="n">
        <v>21</v>
      </c>
      <c r="C144" t="inlineStr">
        <is>
          <t>TUE</t>
        </is>
      </c>
      <c r="D144">
        <f>IF(AND(W21!D9&lt;&gt;"",W21!D9&lt;&gt;"✗"),1,0)</f>
        <v/>
      </c>
      <c r="E144">
        <f>IF(AND(W21!D10&lt;&gt;"",W21!D10&lt;&gt;"✗"),1,0)</f>
        <v/>
      </c>
      <c r="F144">
        <f>IF(AND(W21!D11&lt;&gt;"",W21!D11&lt;&gt;"✗"),1,0)</f>
        <v/>
      </c>
      <c r="G144">
        <f>IF(AND(W21!D12&lt;&gt;"",W21!D12&lt;&gt;"✗"),1,0)</f>
        <v/>
      </c>
      <c r="H144">
        <f>IF(AND(W21!D13&lt;&gt;"",W21!D13&lt;&gt;"✗"),1,0)</f>
        <v/>
      </c>
      <c r="I144">
        <f>IF(AND(W21!D14&lt;&gt;"",W21!D14&lt;&gt;"✗"),1,0)</f>
        <v/>
      </c>
      <c r="J144">
        <f>IF(AND(W21!D15&lt;&gt;"",W21!D15&lt;&gt;"✗"),1,0)</f>
        <v/>
      </c>
      <c r="K144">
        <f>IF(AND(W21!D16&lt;&gt;"",W21!D16&lt;&gt;"✗"),1,0)</f>
        <v/>
      </c>
      <c r="L144">
        <f>IF(AND(W21!D17&lt;&gt;"",W21!D17&lt;&gt;"✗"),1,0)</f>
        <v/>
      </c>
      <c r="M144">
        <f>IF(AND(W21!D18&lt;&gt;"",W21!D18&lt;&gt;"✗"),1,0)</f>
        <v/>
      </c>
      <c r="O144">
        <f>IF(D144=1,O143+1,0)</f>
        <v/>
      </c>
      <c r="P144">
        <f>IF(E144=1,P143+1,0)</f>
        <v/>
      </c>
      <c r="Q144">
        <f>IF(F144=1,Q143+1,0)</f>
        <v/>
      </c>
      <c r="R144">
        <f>IF(G144=1,R143+1,0)</f>
        <v/>
      </c>
      <c r="S144">
        <f>IF(H144=1,S143+1,0)</f>
        <v/>
      </c>
      <c r="T144">
        <f>IF(I144=1,T143+1,0)</f>
        <v/>
      </c>
      <c r="U144">
        <f>IF(J144=1,U143+1,0)</f>
        <v/>
      </c>
      <c r="V144">
        <f>IF(K144=1,V143+1,0)</f>
        <v/>
      </c>
      <c r="W144">
        <f>IF(L144=1,W143+1,0)</f>
        <v/>
      </c>
      <c r="X144">
        <f>IF(M144=1,X143+1,0)</f>
        <v/>
      </c>
    </row>
    <row r="145">
      <c r="A145" s="58">
        <f>'Start Here'!$E$6+142</f>
        <v/>
      </c>
      <c r="B145" t="n">
        <v>21</v>
      </c>
      <c r="C145" t="inlineStr">
        <is>
          <t>WED</t>
        </is>
      </c>
      <c r="D145">
        <f>IF(AND(W21!E9&lt;&gt;"",W21!E9&lt;&gt;"✗"),1,0)</f>
        <v/>
      </c>
      <c r="E145">
        <f>IF(AND(W21!E10&lt;&gt;"",W21!E10&lt;&gt;"✗"),1,0)</f>
        <v/>
      </c>
      <c r="F145">
        <f>IF(AND(W21!E11&lt;&gt;"",W21!E11&lt;&gt;"✗"),1,0)</f>
        <v/>
      </c>
      <c r="G145">
        <f>IF(AND(W21!E12&lt;&gt;"",W21!E12&lt;&gt;"✗"),1,0)</f>
        <v/>
      </c>
      <c r="H145">
        <f>IF(AND(W21!E13&lt;&gt;"",W21!E13&lt;&gt;"✗"),1,0)</f>
        <v/>
      </c>
      <c r="I145">
        <f>IF(AND(W21!E14&lt;&gt;"",W21!E14&lt;&gt;"✗"),1,0)</f>
        <v/>
      </c>
      <c r="J145">
        <f>IF(AND(W21!E15&lt;&gt;"",W21!E15&lt;&gt;"✗"),1,0)</f>
        <v/>
      </c>
      <c r="K145">
        <f>IF(AND(W21!E16&lt;&gt;"",W21!E16&lt;&gt;"✗"),1,0)</f>
        <v/>
      </c>
      <c r="L145">
        <f>IF(AND(W21!E17&lt;&gt;"",W21!E17&lt;&gt;"✗"),1,0)</f>
        <v/>
      </c>
      <c r="M145">
        <f>IF(AND(W21!E18&lt;&gt;"",W21!E18&lt;&gt;"✗"),1,0)</f>
        <v/>
      </c>
      <c r="O145">
        <f>IF(D145=1,O144+1,0)</f>
        <v/>
      </c>
      <c r="P145">
        <f>IF(E145=1,P144+1,0)</f>
        <v/>
      </c>
      <c r="Q145">
        <f>IF(F145=1,Q144+1,0)</f>
        <v/>
      </c>
      <c r="R145">
        <f>IF(G145=1,R144+1,0)</f>
        <v/>
      </c>
      <c r="S145">
        <f>IF(H145=1,S144+1,0)</f>
        <v/>
      </c>
      <c r="T145">
        <f>IF(I145=1,T144+1,0)</f>
        <v/>
      </c>
      <c r="U145">
        <f>IF(J145=1,U144+1,0)</f>
        <v/>
      </c>
      <c r="V145">
        <f>IF(K145=1,V144+1,0)</f>
        <v/>
      </c>
      <c r="W145">
        <f>IF(L145=1,W144+1,0)</f>
        <v/>
      </c>
      <c r="X145">
        <f>IF(M145=1,X144+1,0)</f>
        <v/>
      </c>
    </row>
    <row r="146">
      <c r="A146" s="58">
        <f>'Start Here'!$E$6+143</f>
        <v/>
      </c>
      <c r="B146" t="n">
        <v>21</v>
      </c>
      <c r="C146" t="inlineStr">
        <is>
          <t>THU</t>
        </is>
      </c>
      <c r="D146">
        <f>IF(AND(W21!F9&lt;&gt;"",W21!F9&lt;&gt;"✗"),1,0)</f>
        <v/>
      </c>
      <c r="E146">
        <f>IF(AND(W21!F10&lt;&gt;"",W21!F10&lt;&gt;"✗"),1,0)</f>
        <v/>
      </c>
      <c r="F146">
        <f>IF(AND(W21!F11&lt;&gt;"",W21!F11&lt;&gt;"✗"),1,0)</f>
        <v/>
      </c>
      <c r="G146">
        <f>IF(AND(W21!F12&lt;&gt;"",W21!F12&lt;&gt;"✗"),1,0)</f>
        <v/>
      </c>
      <c r="H146">
        <f>IF(AND(W21!F13&lt;&gt;"",W21!F13&lt;&gt;"✗"),1,0)</f>
        <v/>
      </c>
      <c r="I146">
        <f>IF(AND(W21!F14&lt;&gt;"",W21!F14&lt;&gt;"✗"),1,0)</f>
        <v/>
      </c>
      <c r="J146">
        <f>IF(AND(W21!F15&lt;&gt;"",W21!F15&lt;&gt;"✗"),1,0)</f>
        <v/>
      </c>
      <c r="K146">
        <f>IF(AND(W21!F16&lt;&gt;"",W21!F16&lt;&gt;"✗"),1,0)</f>
        <v/>
      </c>
      <c r="L146">
        <f>IF(AND(W21!F17&lt;&gt;"",W21!F17&lt;&gt;"✗"),1,0)</f>
        <v/>
      </c>
      <c r="M146">
        <f>IF(AND(W21!F18&lt;&gt;"",W21!F18&lt;&gt;"✗"),1,0)</f>
        <v/>
      </c>
      <c r="O146">
        <f>IF(D146=1,O145+1,0)</f>
        <v/>
      </c>
      <c r="P146">
        <f>IF(E146=1,P145+1,0)</f>
        <v/>
      </c>
      <c r="Q146">
        <f>IF(F146=1,Q145+1,0)</f>
        <v/>
      </c>
      <c r="R146">
        <f>IF(G146=1,R145+1,0)</f>
        <v/>
      </c>
      <c r="S146">
        <f>IF(H146=1,S145+1,0)</f>
        <v/>
      </c>
      <c r="T146">
        <f>IF(I146=1,T145+1,0)</f>
        <v/>
      </c>
      <c r="U146">
        <f>IF(J146=1,U145+1,0)</f>
        <v/>
      </c>
      <c r="V146">
        <f>IF(K146=1,V145+1,0)</f>
        <v/>
      </c>
      <c r="W146">
        <f>IF(L146=1,W145+1,0)</f>
        <v/>
      </c>
      <c r="X146">
        <f>IF(M146=1,X145+1,0)</f>
        <v/>
      </c>
    </row>
    <row r="147">
      <c r="A147" s="58">
        <f>'Start Here'!$E$6+144</f>
        <v/>
      </c>
      <c r="B147" t="n">
        <v>21</v>
      </c>
      <c r="C147" t="inlineStr">
        <is>
          <t>FRI</t>
        </is>
      </c>
      <c r="D147">
        <f>IF(AND(W21!G9&lt;&gt;"",W21!G9&lt;&gt;"✗"),1,0)</f>
        <v/>
      </c>
      <c r="E147">
        <f>IF(AND(W21!G10&lt;&gt;"",W21!G10&lt;&gt;"✗"),1,0)</f>
        <v/>
      </c>
      <c r="F147">
        <f>IF(AND(W21!G11&lt;&gt;"",W21!G11&lt;&gt;"✗"),1,0)</f>
        <v/>
      </c>
      <c r="G147">
        <f>IF(AND(W21!G12&lt;&gt;"",W21!G12&lt;&gt;"✗"),1,0)</f>
        <v/>
      </c>
      <c r="H147">
        <f>IF(AND(W21!G13&lt;&gt;"",W21!G13&lt;&gt;"✗"),1,0)</f>
        <v/>
      </c>
      <c r="I147">
        <f>IF(AND(W21!G14&lt;&gt;"",W21!G14&lt;&gt;"✗"),1,0)</f>
        <v/>
      </c>
      <c r="J147">
        <f>IF(AND(W21!G15&lt;&gt;"",W21!G15&lt;&gt;"✗"),1,0)</f>
        <v/>
      </c>
      <c r="K147">
        <f>IF(AND(W21!G16&lt;&gt;"",W21!G16&lt;&gt;"✗"),1,0)</f>
        <v/>
      </c>
      <c r="L147">
        <f>IF(AND(W21!G17&lt;&gt;"",W21!G17&lt;&gt;"✗"),1,0)</f>
        <v/>
      </c>
      <c r="M147">
        <f>IF(AND(W21!G18&lt;&gt;"",W21!G18&lt;&gt;"✗"),1,0)</f>
        <v/>
      </c>
      <c r="O147">
        <f>IF(D147=1,O146+1,0)</f>
        <v/>
      </c>
      <c r="P147">
        <f>IF(E147=1,P146+1,0)</f>
        <v/>
      </c>
      <c r="Q147">
        <f>IF(F147=1,Q146+1,0)</f>
        <v/>
      </c>
      <c r="R147">
        <f>IF(G147=1,R146+1,0)</f>
        <v/>
      </c>
      <c r="S147">
        <f>IF(H147=1,S146+1,0)</f>
        <v/>
      </c>
      <c r="T147">
        <f>IF(I147=1,T146+1,0)</f>
        <v/>
      </c>
      <c r="U147">
        <f>IF(J147=1,U146+1,0)</f>
        <v/>
      </c>
      <c r="V147">
        <f>IF(K147=1,V146+1,0)</f>
        <v/>
      </c>
      <c r="W147">
        <f>IF(L147=1,W146+1,0)</f>
        <v/>
      </c>
      <c r="X147">
        <f>IF(M147=1,X146+1,0)</f>
        <v/>
      </c>
    </row>
    <row r="148">
      <c r="A148" s="58">
        <f>'Start Here'!$E$6+145</f>
        <v/>
      </c>
      <c r="B148" t="n">
        <v>21</v>
      </c>
      <c r="C148" t="inlineStr">
        <is>
          <t>SAT</t>
        </is>
      </c>
      <c r="D148">
        <f>IF(AND(W21!H9&lt;&gt;"",W21!H9&lt;&gt;"✗"),1,0)</f>
        <v/>
      </c>
      <c r="E148">
        <f>IF(AND(W21!H10&lt;&gt;"",W21!H10&lt;&gt;"✗"),1,0)</f>
        <v/>
      </c>
      <c r="F148">
        <f>IF(AND(W21!H11&lt;&gt;"",W21!H11&lt;&gt;"✗"),1,0)</f>
        <v/>
      </c>
      <c r="G148">
        <f>IF(AND(W21!H12&lt;&gt;"",W21!H12&lt;&gt;"✗"),1,0)</f>
        <v/>
      </c>
      <c r="H148">
        <f>IF(AND(W21!H13&lt;&gt;"",W21!H13&lt;&gt;"✗"),1,0)</f>
        <v/>
      </c>
      <c r="I148">
        <f>IF(AND(W21!H14&lt;&gt;"",W21!H14&lt;&gt;"✗"),1,0)</f>
        <v/>
      </c>
      <c r="J148">
        <f>IF(AND(W21!H15&lt;&gt;"",W21!H15&lt;&gt;"✗"),1,0)</f>
        <v/>
      </c>
      <c r="K148">
        <f>IF(AND(W21!H16&lt;&gt;"",W21!H16&lt;&gt;"✗"),1,0)</f>
        <v/>
      </c>
      <c r="L148">
        <f>IF(AND(W21!H17&lt;&gt;"",W21!H17&lt;&gt;"✗"),1,0)</f>
        <v/>
      </c>
      <c r="M148">
        <f>IF(AND(W21!H18&lt;&gt;"",W21!H18&lt;&gt;"✗"),1,0)</f>
        <v/>
      </c>
      <c r="O148">
        <f>IF(D148=1,O147+1,0)</f>
        <v/>
      </c>
      <c r="P148">
        <f>IF(E148=1,P147+1,0)</f>
        <v/>
      </c>
      <c r="Q148">
        <f>IF(F148=1,Q147+1,0)</f>
        <v/>
      </c>
      <c r="R148">
        <f>IF(G148=1,R147+1,0)</f>
        <v/>
      </c>
      <c r="S148">
        <f>IF(H148=1,S147+1,0)</f>
        <v/>
      </c>
      <c r="T148">
        <f>IF(I148=1,T147+1,0)</f>
        <v/>
      </c>
      <c r="U148">
        <f>IF(J148=1,U147+1,0)</f>
        <v/>
      </c>
      <c r="V148">
        <f>IF(K148=1,V147+1,0)</f>
        <v/>
      </c>
      <c r="W148">
        <f>IF(L148=1,W147+1,0)</f>
        <v/>
      </c>
      <c r="X148">
        <f>IF(M148=1,X147+1,0)</f>
        <v/>
      </c>
    </row>
    <row r="149">
      <c r="A149" s="58">
        <f>'Start Here'!$E$6+146</f>
        <v/>
      </c>
      <c r="B149" t="n">
        <v>21</v>
      </c>
      <c r="C149" t="inlineStr">
        <is>
          <t>SUN</t>
        </is>
      </c>
      <c r="D149">
        <f>IF(AND(W21!I9&lt;&gt;"",W21!I9&lt;&gt;"✗"),1,0)</f>
        <v/>
      </c>
      <c r="E149">
        <f>IF(AND(W21!I10&lt;&gt;"",W21!I10&lt;&gt;"✗"),1,0)</f>
        <v/>
      </c>
      <c r="F149">
        <f>IF(AND(W21!I11&lt;&gt;"",W21!I11&lt;&gt;"✗"),1,0)</f>
        <v/>
      </c>
      <c r="G149">
        <f>IF(AND(W21!I12&lt;&gt;"",W21!I12&lt;&gt;"✗"),1,0)</f>
        <v/>
      </c>
      <c r="H149">
        <f>IF(AND(W21!I13&lt;&gt;"",W21!I13&lt;&gt;"✗"),1,0)</f>
        <v/>
      </c>
      <c r="I149">
        <f>IF(AND(W21!I14&lt;&gt;"",W21!I14&lt;&gt;"✗"),1,0)</f>
        <v/>
      </c>
      <c r="J149">
        <f>IF(AND(W21!I15&lt;&gt;"",W21!I15&lt;&gt;"✗"),1,0)</f>
        <v/>
      </c>
      <c r="K149">
        <f>IF(AND(W21!I16&lt;&gt;"",W21!I16&lt;&gt;"✗"),1,0)</f>
        <v/>
      </c>
      <c r="L149">
        <f>IF(AND(W21!I17&lt;&gt;"",W21!I17&lt;&gt;"✗"),1,0)</f>
        <v/>
      </c>
      <c r="M149">
        <f>IF(AND(W21!I18&lt;&gt;"",W21!I18&lt;&gt;"✗"),1,0)</f>
        <v/>
      </c>
      <c r="O149">
        <f>IF(D149=1,O148+1,0)</f>
        <v/>
      </c>
      <c r="P149">
        <f>IF(E149=1,P148+1,0)</f>
        <v/>
      </c>
      <c r="Q149">
        <f>IF(F149=1,Q148+1,0)</f>
        <v/>
      </c>
      <c r="R149">
        <f>IF(G149=1,R148+1,0)</f>
        <v/>
      </c>
      <c r="S149">
        <f>IF(H149=1,S148+1,0)</f>
        <v/>
      </c>
      <c r="T149">
        <f>IF(I149=1,T148+1,0)</f>
        <v/>
      </c>
      <c r="U149">
        <f>IF(J149=1,U148+1,0)</f>
        <v/>
      </c>
      <c r="V149">
        <f>IF(K149=1,V148+1,0)</f>
        <v/>
      </c>
      <c r="W149">
        <f>IF(L149=1,W148+1,0)</f>
        <v/>
      </c>
      <c r="X149">
        <f>IF(M149=1,X148+1,0)</f>
        <v/>
      </c>
    </row>
    <row r="150">
      <c r="A150" s="58">
        <f>'Start Here'!$E$6+147</f>
        <v/>
      </c>
      <c r="B150" t="n">
        <v>22</v>
      </c>
      <c r="C150" t="inlineStr">
        <is>
          <t>MON</t>
        </is>
      </c>
      <c r="D150">
        <f>IF(AND(W22!C9&lt;&gt;"",W22!C9&lt;&gt;"✗"),1,0)</f>
        <v/>
      </c>
      <c r="E150">
        <f>IF(AND(W22!C10&lt;&gt;"",W22!C10&lt;&gt;"✗"),1,0)</f>
        <v/>
      </c>
      <c r="F150">
        <f>IF(AND(W22!C11&lt;&gt;"",W22!C11&lt;&gt;"✗"),1,0)</f>
        <v/>
      </c>
      <c r="G150">
        <f>IF(AND(W22!C12&lt;&gt;"",W22!C12&lt;&gt;"✗"),1,0)</f>
        <v/>
      </c>
      <c r="H150">
        <f>IF(AND(W22!C13&lt;&gt;"",W22!C13&lt;&gt;"✗"),1,0)</f>
        <v/>
      </c>
      <c r="I150">
        <f>IF(AND(W22!C14&lt;&gt;"",W22!C14&lt;&gt;"✗"),1,0)</f>
        <v/>
      </c>
      <c r="J150">
        <f>IF(AND(W22!C15&lt;&gt;"",W22!C15&lt;&gt;"✗"),1,0)</f>
        <v/>
      </c>
      <c r="K150">
        <f>IF(AND(W22!C16&lt;&gt;"",W22!C16&lt;&gt;"✗"),1,0)</f>
        <v/>
      </c>
      <c r="L150">
        <f>IF(AND(W22!C17&lt;&gt;"",W22!C17&lt;&gt;"✗"),1,0)</f>
        <v/>
      </c>
      <c r="M150">
        <f>IF(AND(W22!C18&lt;&gt;"",W22!C18&lt;&gt;"✗"),1,0)</f>
        <v/>
      </c>
      <c r="O150">
        <f>IF(D150=1,O149+1,0)</f>
        <v/>
      </c>
      <c r="P150">
        <f>IF(E150=1,P149+1,0)</f>
        <v/>
      </c>
      <c r="Q150">
        <f>IF(F150=1,Q149+1,0)</f>
        <v/>
      </c>
      <c r="R150">
        <f>IF(G150=1,R149+1,0)</f>
        <v/>
      </c>
      <c r="S150">
        <f>IF(H150=1,S149+1,0)</f>
        <v/>
      </c>
      <c r="T150">
        <f>IF(I150=1,T149+1,0)</f>
        <v/>
      </c>
      <c r="U150">
        <f>IF(J150=1,U149+1,0)</f>
        <v/>
      </c>
      <c r="V150">
        <f>IF(K150=1,V149+1,0)</f>
        <v/>
      </c>
      <c r="W150">
        <f>IF(L150=1,W149+1,0)</f>
        <v/>
      </c>
      <c r="X150">
        <f>IF(M150=1,X149+1,0)</f>
        <v/>
      </c>
    </row>
    <row r="151">
      <c r="A151" s="58">
        <f>'Start Here'!$E$6+148</f>
        <v/>
      </c>
      <c r="B151" t="n">
        <v>22</v>
      </c>
      <c r="C151" t="inlineStr">
        <is>
          <t>TUE</t>
        </is>
      </c>
      <c r="D151">
        <f>IF(AND(W22!D9&lt;&gt;"",W22!D9&lt;&gt;"✗"),1,0)</f>
        <v/>
      </c>
      <c r="E151">
        <f>IF(AND(W22!D10&lt;&gt;"",W22!D10&lt;&gt;"✗"),1,0)</f>
        <v/>
      </c>
      <c r="F151">
        <f>IF(AND(W22!D11&lt;&gt;"",W22!D11&lt;&gt;"✗"),1,0)</f>
        <v/>
      </c>
      <c r="G151">
        <f>IF(AND(W22!D12&lt;&gt;"",W22!D12&lt;&gt;"✗"),1,0)</f>
        <v/>
      </c>
      <c r="H151">
        <f>IF(AND(W22!D13&lt;&gt;"",W22!D13&lt;&gt;"✗"),1,0)</f>
        <v/>
      </c>
      <c r="I151">
        <f>IF(AND(W22!D14&lt;&gt;"",W22!D14&lt;&gt;"✗"),1,0)</f>
        <v/>
      </c>
      <c r="J151">
        <f>IF(AND(W22!D15&lt;&gt;"",W22!D15&lt;&gt;"✗"),1,0)</f>
        <v/>
      </c>
      <c r="K151">
        <f>IF(AND(W22!D16&lt;&gt;"",W22!D16&lt;&gt;"✗"),1,0)</f>
        <v/>
      </c>
      <c r="L151">
        <f>IF(AND(W22!D17&lt;&gt;"",W22!D17&lt;&gt;"✗"),1,0)</f>
        <v/>
      </c>
      <c r="M151">
        <f>IF(AND(W22!D18&lt;&gt;"",W22!D18&lt;&gt;"✗"),1,0)</f>
        <v/>
      </c>
      <c r="O151">
        <f>IF(D151=1,O150+1,0)</f>
        <v/>
      </c>
      <c r="P151">
        <f>IF(E151=1,P150+1,0)</f>
        <v/>
      </c>
      <c r="Q151">
        <f>IF(F151=1,Q150+1,0)</f>
        <v/>
      </c>
      <c r="R151">
        <f>IF(G151=1,R150+1,0)</f>
        <v/>
      </c>
      <c r="S151">
        <f>IF(H151=1,S150+1,0)</f>
        <v/>
      </c>
      <c r="T151">
        <f>IF(I151=1,T150+1,0)</f>
        <v/>
      </c>
      <c r="U151">
        <f>IF(J151=1,U150+1,0)</f>
        <v/>
      </c>
      <c r="V151">
        <f>IF(K151=1,V150+1,0)</f>
        <v/>
      </c>
      <c r="W151">
        <f>IF(L151=1,W150+1,0)</f>
        <v/>
      </c>
      <c r="X151">
        <f>IF(M151=1,X150+1,0)</f>
        <v/>
      </c>
    </row>
    <row r="152">
      <c r="A152" s="58">
        <f>'Start Here'!$E$6+149</f>
        <v/>
      </c>
      <c r="B152" t="n">
        <v>22</v>
      </c>
      <c r="C152" t="inlineStr">
        <is>
          <t>WED</t>
        </is>
      </c>
      <c r="D152">
        <f>IF(AND(W22!E9&lt;&gt;"",W22!E9&lt;&gt;"✗"),1,0)</f>
        <v/>
      </c>
      <c r="E152">
        <f>IF(AND(W22!E10&lt;&gt;"",W22!E10&lt;&gt;"✗"),1,0)</f>
        <v/>
      </c>
      <c r="F152">
        <f>IF(AND(W22!E11&lt;&gt;"",W22!E11&lt;&gt;"✗"),1,0)</f>
        <v/>
      </c>
      <c r="G152">
        <f>IF(AND(W22!E12&lt;&gt;"",W22!E12&lt;&gt;"✗"),1,0)</f>
        <v/>
      </c>
      <c r="H152">
        <f>IF(AND(W22!E13&lt;&gt;"",W22!E13&lt;&gt;"✗"),1,0)</f>
        <v/>
      </c>
      <c r="I152">
        <f>IF(AND(W22!E14&lt;&gt;"",W22!E14&lt;&gt;"✗"),1,0)</f>
        <v/>
      </c>
      <c r="J152">
        <f>IF(AND(W22!E15&lt;&gt;"",W22!E15&lt;&gt;"✗"),1,0)</f>
        <v/>
      </c>
      <c r="K152">
        <f>IF(AND(W22!E16&lt;&gt;"",W22!E16&lt;&gt;"✗"),1,0)</f>
        <v/>
      </c>
      <c r="L152">
        <f>IF(AND(W22!E17&lt;&gt;"",W22!E17&lt;&gt;"✗"),1,0)</f>
        <v/>
      </c>
      <c r="M152">
        <f>IF(AND(W22!E18&lt;&gt;"",W22!E18&lt;&gt;"✗"),1,0)</f>
        <v/>
      </c>
      <c r="O152">
        <f>IF(D152=1,O151+1,0)</f>
        <v/>
      </c>
      <c r="P152">
        <f>IF(E152=1,P151+1,0)</f>
        <v/>
      </c>
      <c r="Q152">
        <f>IF(F152=1,Q151+1,0)</f>
        <v/>
      </c>
      <c r="R152">
        <f>IF(G152=1,R151+1,0)</f>
        <v/>
      </c>
      <c r="S152">
        <f>IF(H152=1,S151+1,0)</f>
        <v/>
      </c>
      <c r="T152">
        <f>IF(I152=1,T151+1,0)</f>
        <v/>
      </c>
      <c r="U152">
        <f>IF(J152=1,U151+1,0)</f>
        <v/>
      </c>
      <c r="V152">
        <f>IF(K152=1,V151+1,0)</f>
        <v/>
      </c>
      <c r="W152">
        <f>IF(L152=1,W151+1,0)</f>
        <v/>
      </c>
      <c r="X152">
        <f>IF(M152=1,X151+1,0)</f>
        <v/>
      </c>
    </row>
    <row r="153">
      <c r="A153" s="58">
        <f>'Start Here'!$E$6+150</f>
        <v/>
      </c>
      <c r="B153" t="n">
        <v>22</v>
      </c>
      <c r="C153" t="inlineStr">
        <is>
          <t>THU</t>
        </is>
      </c>
      <c r="D153">
        <f>IF(AND(W22!F9&lt;&gt;"",W22!F9&lt;&gt;"✗"),1,0)</f>
        <v/>
      </c>
      <c r="E153">
        <f>IF(AND(W22!F10&lt;&gt;"",W22!F10&lt;&gt;"✗"),1,0)</f>
        <v/>
      </c>
      <c r="F153">
        <f>IF(AND(W22!F11&lt;&gt;"",W22!F11&lt;&gt;"✗"),1,0)</f>
        <v/>
      </c>
      <c r="G153">
        <f>IF(AND(W22!F12&lt;&gt;"",W22!F12&lt;&gt;"✗"),1,0)</f>
        <v/>
      </c>
      <c r="H153">
        <f>IF(AND(W22!F13&lt;&gt;"",W22!F13&lt;&gt;"✗"),1,0)</f>
        <v/>
      </c>
      <c r="I153">
        <f>IF(AND(W22!F14&lt;&gt;"",W22!F14&lt;&gt;"✗"),1,0)</f>
        <v/>
      </c>
      <c r="J153">
        <f>IF(AND(W22!F15&lt;&gt;"",W22!F15&lt;&gt;"✗"),1,0)</f>
        <v/>
      </c>
      <c r="K153">
        <f>IF(AND(W22!F16&lt;&gt;"",W22!F16&lt;&gt;"✗"),1,0)</f>
        <v/>
      </c>
      <c r="L153">
        <f>IF(AND(W22!F17&lt;&gt;"",W22!F17&lt;&gt;"✗"),1,0)</f>
        <v/>
      </c>
      <c r="M153">
        <f>IF(AND(W22!F18&lt;&gt;"",W22!F18&lt;&gt;"✗"),1,0)</f>
        <v/>
      </c>
      <c r="O153">
        <f>IF(D153=1,O152+1,0)</f>
        <v/>
      </c>
      <c r="P153">
        <f>IF(E153=1,P152+1,0)</f>
        <v/>
      </c>
      <c r="Q153">
        <f>IF(F153=1,Q152+1,0)</f>
        <v/>
      </c>
      <c r="R153">
        <f>IF(G153=1,R152+1,0)</f>
        <v/>
      </c>
      <c r="S153">
        <f>IF(H153=1,S152+1,0)</f>
        <v/>
      </c>
      <c r="T153">
        <f>IF(I153=1,T152+1,0)</f>
        <v/>
      </c>
      <c r="U153">
        <f>IF(J153=1,U152+1,0)</f>
        <v/>
      </c>
      <c r="V153">
        <f>IF(K153=1,V152+1,0)</f>
        <v/>
      </c>
      <c r="W153">
        <f>IF(L153=1,W152+1,0)</f>
        <v/>
      </c>
      <c r="X153">
        <f>IF(M153=1,X152+1,0)</f>
        <v/>
      </c>
    </row>
    <row r="154">
      <c r="A154" s="58">
        <f>'Start Here'!$E$6+151</f>
        <v/>
      </c>
      <c r="B154" t="n">
        <v>22</v>
      </c>
      <c r="C154" t="inlineStr">
        <is>
          <t>FRI</t>
        </is>
      </c>
      <c r="D154">
        <f>IF(AND(W22!G9&lt;&gt;"",W22!G9&lt;&gt;"✗"),1,0)</f>
        <v/>
      </c>
      <c r="E154">
        <f>IF(AND(W22!G10&lt;&gt;"",W22!G10&lt;&gt;"✗"),1,0)</f>
        <v/>
      </c>
      <c r="F154">
        <f>IF(AND(W22!G11&lt;&gt;"",W22!G11&lt;&gt;"✗"),1,0)</f>
        <v/>
      </c>
      <c r="G154">
        <f>IF(AND(W22!G12&lt;&gt;"",W22!G12&lt;&gt;"✗"),1,0)</f>
        <v/>
      </c>
      <c r="H154">
        <f>IF(AND(W22!G13&lt;&gt;"",W22!G13&lt;&gt;"✗"),1,0)</f>
        <v/>
      </c>
      <c r="I154">
        <f>IF(AND(W22!G14&lt;&gt;"",W22!G14&lt;&gt;"✗"),1,0)</f>
        <v/>
      </c>
      <c r="J154">
        <f>IF(AND(W22!G15&lt;&gt;"",W22!G15&lt;&gt;"✗"),1,0)</f>
        <v/>
      </c>
      <c r="K154">
        <f>IF(AND(W22!G16&lt;&gt;"",W22!G16&lt;&gt;"✗"),1,0)</f>
        <v/>
      </c>
      <c r="L154">
        <f>IF(AND(W22!G17&lt;&gt;"",W22!G17&lt;&gt;"✗"),1,0)</f>
        <v/>
      </c>
      <c r="M154">
        <f>IF(AND(W22!G18&lt;&gt;"",W22!G18&lt;&gt;"✗"),1,0)</f>
        <v/>
      </c>
      <c r="O154">
        <f>IF(D154=1,O153+1,0)</f>
        <v/>
      </c>
      <c r="P154">
        <f>IF(E154=1,P153+1,0)</f>
        <v/>
      </c>
      <c r="Q154">
        <f>IF(F154=1,Q153+1,0)</f>
        <v/>
      </c>
      <c r="R154">
        <f>IF(G154=1,R153+1,0)</f>
        <v/>
      </c>
      <c r="S154">
        <f>IF(H154=1,S153+1,0)</f>
        <v/>
      </c>
      <c r="T154">
        <f>IF(I154=1,T153+1,0)</f>
        <v/>
      </c>
      <c r="U154">
        <f>IF(J154=1,U153+1,0)</f>
        <v/>
      </c>
      <c r="V154">
        <f>IF(K154=1,V153+1,0)</f>
        <v/>
      </c>
      <c r="W154">
        <f>IF(L154=1,W153+1,0)</f>
        <v/>
      </c>
      <c r="X154">
        <f>IF(M154=1,X153+1,0)</f>
        <v/>
      </c>
    </row>
    <row r="155">
      <c r="A155" s="58">
        <f>'Start Here'!$E$6+152</f>
        <v/>
      </c>
      <c r="B155" t="n">
        <v>22</v>
      </c>
      <c r="C155" t="inlineStr">
        <is>
          <t>SAT</t>
        </is>
      </c>
      <c r="D155">
        <f>IF(AND(W22!H9&lt;&gt;"",W22!H9&lt;&gt;"✗"),1,0)</f>
        <v/>
      </c>
      <c r="E155">
        <f>IF(AND(W22!H10&lt;&gt;"",W22!H10&lt;&gt;"✗"),1,0)</f>
        <v/>
      </c>
      <c r="F155">
        <f>IF(AND(W22!H11&lt;&gt;"",W22!H11&lt;&gt;"✗"),1,0)</f>
        <v/>
      </c>
      <c r="G155">
        <f>IF(AND(W22!H12&lt;&gt;"",W22!H12&lt;&gt;"✗"),1,0)</f>
        <v/>
      </c>
      <c r="H155">
        <f>IF(AND(W22!H13&lt;&gt;"",W22!H13&lt;&gt;"✗"),1,0)</f>
        <v/>
      </c>
      <c r="I155">
        <f>IF(AND(W22!H14&lt;&gt;"",W22!H14&lt;&gt;"✗"),1,0)</f>
        <v/>
      </c>
      <c r="J155">
        <f>IF(AND(W22!H15&lt;&gt;"",W22!H15&lt;&gt;"✗"),1,0)</f>
        <v/>
      </c>
      <c r="K155">
        <f>IF(AND(W22!H16&lt;&gt;"",W22!H16&lt;&gt;"✗"),1,0)</f>
        <v/>
      </c>
      <c r="L155">
        <f>IF(AND(W22!H17&lt;&gt;"",W22!H17&lt;&gt;"✗"),1,0)</f>
        <v/>
      </c>
      <c r="M155">
        <f>IF(AND(W22!H18&lt;&gt;"",W22!H18&lt;&gt;"✗"),1,0)</f>
        <v/>
      </c>
      <c r="O155">
        <f>IF(D155=1,O154+1,0)</f>
        <v/>
      </c>
      <c r="P155">
        <f>IF(E155=1,P154+1,0)</f>
        <v/>
      </c>
      <c r="Q155">
        <f>IF(F155=1,Q154+1,0)</f>
        <v/>
      </c>
      <c r="R155">
        <f>IF(G155=1,R154+1,0)</f>
        <v/>
      </c>
      <c r="S155">
        <f>IF(H155=1,S154+1,0)</f>
        <v/>
      </c>
      <c r="T155">
        <f>IF(I155=1,T154+1,0)</f>
        <v/>
      </c>
      <c r="U155">
        <f>IF(J155=1,U154+1,0)</f>
        <v/>
      </c>
      <c r="V155">
        <f>IF(K155=1,V154+1,0)</f>
        <v/>
      </c>
      <c r="W155">
        <f>IF(L155=1,W154+1,0)</f>
        <v/>
      </c>
      <c r="X155">
        <f>IF(M155=1,X154+1,0)</f>
        <v/>
      </c>
    </row>
    <row r="156">
      <c r="A156" s="58">
        <f>'Start Here'!$E$6+153</f>
        <v/>
      </c>
      <c r="B156" t="n">
        <v>22</v>
      </c>
      <c r="C156" t="inlineStr">
        <is>
          <t>SUN</t>
        </is>
      </c>
      <c r="D156">
        <f>IF(AND(W22!I9&lt;&gt;"",W22!I9&lt;&gt;"✗"),1,0)</f>
        <v/>
      </c>
      <c r="E156">
        <f>IF(AND(W22!I10&lt;&gt;"",W22!I10&lt;&gt;"✗"),1,0)</f>
        <v/>
      </c>
      <c r="F156">
        <f>IF(AND(W22!I11&lt;&gt;"",W22!I11&lt;&gt;"✗"),1,0)</f>
        <v/>
      </c>
      <c r="G156">
        <f>IF(AND(W22!I12&lt;&gt;"",W22!I12&lt;&gt;"✗"),1,0)</f>
        <v/>
      </c>
      <c r="H156">
        <f>IF(AND(W22!I13&lt;&gt;"",W22!I13&lt;&gt;"✗"),1,0)</f>
        <v/>
      </c>
      <c r="I156">
        <f>IF(AND(W22!I14&lt;&gt;"",W22!I14&lt;&gt;"✗"),1,0)</f>
        <v/>
      </c>
      <c r="J156">
        <f>IF(AND(W22!I15&lt;&gt;"",W22!I15&lt;&gt;"✗"),1,0)</f>
        <v/>
      </c>
      <c r="K156">
        <f>IF(AND(W22!I16&lt;&gt;"",W22!I16&lt;&gt;"✗"),1,0)</f>
        <v/>
      </c>
      <c r="L156">
        <f>IF(AND(W22!I17&lt;&gt;"",W22!I17&lt;&gt;"✗"),1,0)</f>
        <v/>
      </c>
      <c r="M156">
        <f>IF(AND(W22!I18&lt;&gt;"",W22!I18&lt;&gt;"✗"),1,0)</f>
        <v/>
      </c>
      <c r="O156">
        <f>IF(D156=1,O155+1,0)</f>
        <v/>
      </c>
      <c r="P156">
        <f>IF(E156=1,P155+1,0)</f>
        <v/>
      </c>
      <c r="Q156">
        <f>IF(F156=1,Q155+1,0)</f>
        <v/>
      </c>
      <c r="R156">
        <f>IF(G156=1,R155+1,0)</f>
        <v/>
      </c>
      <c r="S156">
        <f>IF(H156=1,S155+1,0)</f>
        <v/>
      </c>
      <c r="T156">
        <f>IF(I156=1,T155+1,0)</f>
        <v/>
      </c>
      <c r="U156">
        <f>IF(J156=1,U155+1,0)</f>
        <v/>
      </c>
      <c r="V156">
        <f>IF(K156=1,V155+1,0)</f>
        <v/>
      </c>
      <c r="W156">
        <f>IF(L156=1,W155+1,0)</f>
        <v/>
      </c>
      <c r="X156">
        <f>IF(M156=1,X155+1,0)</f>
        <v/>
      </c>
    </row>
    <row r="157">
      <c r="A157" s="58">
        <f>'Start Here'!$E$6+154</f>
        <v/>
      </c>
      <c r="B157" t="n">
        <v>23</v>
      </c>
      <c r="C157" t="inlineStr">
        <is>
          <t>MON</t>
        </is>
      </c>
      <c r="D157">
        <f>IF(AND(W23!C9&lt;&gt;"",W23!C9&lt;&gt;"✗"),1,0)</f>
        <v/>
      </c>
      <c r="E157">
        <f>IF(AND(W23!C10&lt;&gt;"",W23!C10&lt;&gt;"✗"),1,0)</f>
        <v/>
      </c>
      <c r="F157">
        <f>IF(AND(W23!C11&lt;&gt;"",W23!C11&lt;&gt;"✗"),1,0)</f>
        <v/>
      </c>
      <c r="G157">
        <f>IF(AND(W23!C12&lt;&gt;"",W23!C12&lt;&gt;"✗"),1,0)</f>
        <v/>
      </c>
      <c r="H157">
        <f>IF(AND(W23!C13&lt;&gt;"",W23!C13&lt;&gt;"✗"),1,0)</f>
        <v/>
      </c>
      <c r="I157">
        <f>IF(AND(W23!C14&lt;&gt;"",W23!C14&lt;&gt;"✗"),1,0)</f>
        <v/>
      </c>
      <c r="J157">
        <f>IF(AND(W23!C15&lt;&gt;"",W23!C15&lt;&gt;"✗"),1,0)</f>
        <v/>
      </c>
      <c r="K157">
        <f>IF(AND(W23!C16&lt;&gt;"",W23!C16&lt;&gt;"✗"),1,0)</f>
        <v/>
      </c>
      <c r="L157">
        <f>IF(AND(W23!C17&lt;&gt;"",W23!C17&lt;&gt;"✗"),1,0)</f>
        <v/>
      </c>
      <c r="M157">
        <f>IF(AND(W23!C18&lt;&gt;"",W23!C18&lt;&gt;"✗"),1,0)</f>
        <v/>
      </c>
      <c r="O157">
        <f>IF(D157=1,O156+1,0)</f>
        <v/>
      </c>
      <c r="P157">
        <f>IF(E157=1,P156+1,0)</f>
        <v/>
      </c>
      <c r="Q157">
        <f>IF(F157=1,Q156+1,0)</f>
        <v/>
      </c>
      <c r="R157">
        <f>IF(G157=1,R156+1,0)</f>
        <v/>
      </c>
      <c r="S157">
        <f>IF(H157=1,S156+1,0)</f>
        <v/>
      </c>
      <c r="T157">
        <f>IF(I157=1,T156+1,0)</f>
        <v/>
      </c>
      <c r="U157">
        <f>IF(J157=1,U156+1,0)</f>
        <v/>
      </c>
      <c r="V157">
        <f>IF(K157=1,V156+1,0)</f>
        <v/>
      </c>
      <c r="W157">
        <f>IF(L157=1,W156+1,0)</f>
        <v/>
      </c>
      <c r="X157">
        <f>IF(M157=1,X156+1,0)</f>
        <v/>
      </c>
    </row>
    <row r="158">
      <c r="A158" s="58">
        <f>'Start Here'!$E$6+155</f>
        <v/>
      </c>
      <c r="B158" t="n">
        <v>23</v>
      </c>
      <c r="C158" t="inlineStr">
        <is>
          <t>TUE</t>
        </is>
      </c>
      <c r="D158">
        <f>IF(AND(W23!D9&lt;&gt;"",W23!D9&lt;&gt;"✗"),1,0)</f>
        <v/>
      </c>
      <c r="E158">
        <f>IF(AND(W23!D10&lt;&gt;"",W23!D10&lt;&gt;"✗"),1,0)</f>
        <v/>
      </c>
      <c r="F158">
        <f>IF(AND(W23!D11&lt;&gt;"",W23!D11&lt;&gt;"✗"),1,0)</f>
        <v/>
      </c>
      <c r="G158">
        <f>IF(AND(W23!D12&lt;&gt;"",W23!D12&lt;&gt;"✗"),1,0)</f>
        <v/>
      </c>
      <c r="H158">
        <f>IF(AND(W23!D13&lt;&gt;"",W23!D13&lt;&gt;"✗"),1,0)</f>
        <v/>
      </c>
      <c r="I158">
        <f>IF(AND(W23!D14&lt;&gt;"",W23!D14&lt;&gt;"✗"),1,0)</f>
        <v/>
      </c>
      <c r="J158">
        <f>IF(AND(W23!D15&lt;&gt;"",W23!D15&lt;&gt;"✗"),1,0)</f>
        <v/>
      </c>
      <c r="K158">
        <f>IF(AND(W23!D16&lt;&gt;"",W23!D16&lt;&gt;"✗"),1,0)</f>
        <v/>
      </c>
      <c r="L158">
        <f>IF(AND(W23!D17&lt;&gt;"",W23!D17&lt;&gt;"✗"),1,0)</f>
        <v/>
      </c>
      <c r="M158">
        <f>IF(AND(W23!D18&lt;&gt;"",W23!D18&lt;&gt;"✗"),1,0)</f>
        <v/>
      </c>
      <c r="O158">
        <f>IF(D158=1,O157+1,0)</f>
        <v/>
      </c>
      <c r="P158">
        <f>IF(E158=1,P157+1,0)</f>
        <v/>
      </c>
      <c r="Q158">
        <f>IF(F158=1,Q157+1,0)</f>
        <v/>
      </c>
      <c r="R158">
        <f>IF(G158=1,R157+1,0)</f>
        <v/>
      </c>
      <c r="S158">
        <f>IF(H158=1,S157+1,0)</f>
        <v/>
      </c>
      <c r="T158">
        <f>IF(I158=1,T157+1,0)</f>
        <v/>
      </c>
      <c r="U158">
        <f>IF(J158=1,U157+1,0)</f>
        <v/>
      </c>
      <c r="V158">
        <f>IF(K158=1,V157+1,0)</f>
        <v/>
      </c>
      <c r="W158">
        <f>IF(L158=1,W157+1,0)</f>
        <v/>
      </c>
      <c r="X158">
        <f>IF(M158=1,X157+1,0)</f>
        <v/>
      </c>
    </row>
    <row r="159">
      <c r="A159" s="58">
        <f>'Start Here'!$E$6+156</f>
        <v/>
      </c>
      <c r="B159" t="n">
        <v>23</v>
      </c>
      <c r="C159" t="inlineStr">
        <is>
          <t>WED</t>
        </is>
      </c>
      <c r="D159">
        <f>IF(AND(W23!E9&lt;&gt;"",W23!E9&lt;&gt;"✗"),1,0)</f>
        <v/>
      </c>
      <c r="E159">
        <f>IF(AND(W23!E10&lt;&gt;"",W23!E10&lt;&gt;"✗"),1,0)</f>
        <v/>
      </c>
      <c r="F159">
        <f>IF(AND(W23!E11&lt;&gt;"",W23!E11&lt;&gt;"✗"),1,0)</f>
        <v/>
      </c>
      <c r="G159">
        <f>IF(AND(W23!E12&lt;&gt;"",W23!E12&lt;&gt;"✗"),1,0)</f>
        <v/>
      </c>
      <c r="H159">
        <f>IF(AND(W23!E13&lt;&gt;"",W23!E13&lt;&gt;"✗"),1,0)</f>
        <v/>
      </c>
      <c r="I159">
        <f>IF(AND(W23!E14&lt;&gt;"",W23!E14&lt;&gt;"✗"),1,0)</f>
        <v/>
      </c>
      <c r="J159">
        <f>IF(AND(W23!E15&lt;&gt;"",W23!E15&lt;&gt;"✗"),1,0)</f>
        <v/>
      </c>
      <c r="K159">
        <f>IF(AND(W23!E16&lt;&gt;"",W23!E16&lt;&gt;"✗"),1,0)</f>
        <v/>
      </c>
      <c r="L159">
        <f>IF(AND(W23!E17&lt;&gt;"",W23!E17&lt;&gt;"✗"),1,0)</f>
        <v/>
      </c>
      <c r="M159">
        <f>IF(AND(W23!E18&lt;&gt;"",W23!E18&lt;&gt;"✗"),1,0)</f>
        <v/>
      </c>
      <c r="O159">
        <f>IF(D159=1,O158+1,0)</f>
        <v/>
      </c>
      <c r="P159">
        <f>IF(E159=1,P158+1,0)</f>
        <v/>
      </c>
      <c r="Q159">
        <f>IF(F159=1,Q158+1,0)</f>
        <v/>
      </c>
      <c r="R159">
        <f>IF(G159=1,R158+1,0)</f>
        <v/>
      </c>
      <c r="S159">
        <f>IF(H159=1,S158+1,0)</f>
        <v/>
      </c>
      <c r="T159">
        <f>IF(I159=1,T158+1,0)</f>
        <v/>
      </c>
      <c r="U159">
        <f>IF(J159=1,U158+1,0)</f>
        <v/>
      </c>
      <c r="V159">
        <f>IF(K159=1,V158+1,0)</f>
        <v/>
      </c>
      <c r="W159">
        <f>IF(L159=1,W158+1,0)</f>
        <v/>
      </c>
      <c r="X159">
        <f>IF(M159=1,X158+1,0)</f>
        <v/>
      </c>
    </row>
    <row r="160">
      <c r="A160" s="58">
        <f>'Start Here'!$E$6+157</f>
        <v/>
      </c>
      <c r="B160" t="n">
        <v>23</v>
      </c>
      <c r="C160" t="inlineStr">
        <is>
          <t>THU</t>
        </is>
      </c>
      <c r="D160">
        <f>IF(AND(W23!F9&lt;&gt;"",W23!F9&lt;&gt;"✗"),1,0)</f>
        <v/>
      </c>
      <c r="E160">
        <f>IF(AND(W23!F10&lt;&gt;"",W23!F10&lt;&gt;"✗"),1,0)</f>
        <v/>
      </c>
      <c r="F160">
        <f>IF(AND(W23!F11&lt;&gt;"",W23!F11&lt;&gt;"✗"),1,0)</f>
        <v/>
      </c>
      <c r="G160">
        <f>IF(AND(W23!F12&lt;&gt;"",W23!F12&lt;&gt;"✗"),1,0)</f>
        <v/>
      </c>
      <c r="H160">
        <f>IF(AND(W23!F13&lt;&gt;"",W23!F13&lt;&gt;"✗"),1,0)</f>
        <v/>
      </c>
      <c r="I160">
        <f>IF(AND(W23!F14&lt;&gt;"",W23!F14&lt;&gt;"✗"),1,0)</f>
        <v/>
      </c>
      <c r="J160">
        <f>IF(AND(W23!F15&lt;&gt;"",W23!F15&lt;&gt;"✗"),1,0)</f>
        <v/>
      </c>
      <c r="K160">
        <f>IF(AND(W23!F16&lt;&gt;"",W23!F16&lt;&gt;"✗"),1,0)</f>
        <v/>
      </c>
      <c r="L160">
        <f>IF(AND(W23!F17&lt;&gt;"",W23!F17&lt;&gt;"✗"),1,0)</f>
        <v/>
      </c>
      <c r="M160">
        <f>IF(AND(W23!F18&lt;&gt;"",W23!F18&lt;&gt;"✗"),1,0)</f>
        <v/>
      </c>
      <c r="O160">
        <f>IF(D160=1,O159+1,0)</f>
        <v/>
      </c>
      <c r="P160">
        <f>IF(E160=1,P159+1,0)</f>
        <v/>
      </c>
      <c r="Q160">
        <f>IF(F160=1,Q159+1,0)</f>
        <v/>
      </c>
      <c r="R160">
        <f>IF(G160=1,R159+1,0)</f>
        <v/>
      </c>
      <c r="S160">
        <f>IF(H160=1,S159+1,0)</f>
        <v/>
      </c>
      <c r="T160">
        <f>IF(I160=1,T159+1,0)</f>
        <v/>
      </c>
      <c r="U160">
        <f>IF(J160=1,U159+1,0)</f>
        <v/>
      </c>
      <c r="V160">
        <f>IF(K160=1,V159+1,0)</f>
        <v/>
      </c>
      <c r="W160">
        <f>IF(L160=1,W159+1,0)</f>
        <v/>
      </c>
      <c r="X160">
        <f>IF(M160=1,X159+1,0)</f>
        <v/>
      </c>
    </row>
    <row r="161">
      <c r="A161" s="58">
        <f>'Start Here'!$E$6+158</f>
        <v/>
      </c>
      <c r="B161" t="n">
        <v>23</v>
      </c>
      <c r="C161" t="inlineStr">
        <is>
          <t>FRI</t>
        </is>
      </c>
      <c r="D161">
        <f>IF(AND(W23!G9&lt;&gt;"",W23!G9&lt;&gt;"✗"),1,0)</f>
        <v/>
      </c>
      <c r="E161">
        <f>IF(AND(W23!G10&lt;&gt;"",W23!G10&lt;&gt;"✗"),1,0)</f>
        <v/>
      </c>
      <c r="F161">
        <f>IF(AND(W23!G11&lt;&gt;"",W23!G11&lt;&gt;"✗"),1,0)</f>
        <v/>
      </c>
      <c r="G161">
        <f>IF(AND(W23!G12&lt;&gt;"",W23!G12&lt;&gt;"✗"),1,0)</f>
        <v/>
      </c>
      <c r="H161">
        <f>IF(AND(W23!G13&lt;&gt;"",W23!G13&lt;&gt;"✗"),1,0)</f>
        <v/>
      </c>
      <c r="I161">
        <f>IF(AND(W23!G14&lt;&gt;"",W23!G14&lt;&gt;"✗"),1,0)</f>
        <v/>
      </c>
      <c r="J161">
        <f>IF(AND(W23!G15&lt;&gt;"",W23!G15&lt;&gt;"✗"),1,0)</f>
        <v/>
      </c>
      <c r="K161">
        <f>IF(AND(W23!G16&lt;&gt;"",W23!G16&lt;&gt;"✗"),1,0)</f>
        <v/>
      </c>
      <c r="L161">
        <f>IF(AND(W23!G17&lt;&gt;"",W23!G17&lt;&gt;"✗"),1,0)</f>
        <v/>
      </c>
      <c r="M161">
        <f>IF(AND(W23!G18&lt;&gt;"",W23!G18&lt;&gt;"✗"),1,0)</f>
        <v/>
      </c>
      <c r="O161">
        <f>IF(D161=1,O160+1,0)</f>
        <v/>
      </c>
      <c r="P161">
        <f>IF(E161=1,P160+1,0)</f>
        <v/>
      </c>
      <c r="Q161">
        <f>IF(F161=1,Q160+1,0)</f>
        <v/>
      </c>
      <c r="R161">
        <f>IF(G161=1,R160+1,0)</f>
        <v/>
      </c>
      <c r="S161">
        <f>IF(H161=1,S160+1,0)</f>
        <v/>
      </c>
      <c r="T161">
        <f>IF(I161=1,T160+1,0)</f>
        <v/>
      </c>
      <c r="U161">
        <f>IF(J161=1,U160+1,0)</f>
        <v/>
      </c>
      <c r="V161">
        <f>IF(K161=1,V160+1,0)</f>
        <v/>
      </c>
      <c r="W161">
        <f>IF(L161=1,W160+1,0)</f>
        <v/>
      </c>
      <c r="X161">
        <f>IF(M161=1,X160+1,0)</f>
        <v/>
      </c>
    </row>
    <row r="162">
      <c r="A162" s="58">
        <f>'Start Here'!$E$6+159</f>
        <v/>
      </c>
      <c r="B162" t="n">
        <v>23</v>
      </c>
      <c r="C162" t="inlineStr">
        <is>
          <t>SAT</t>
        </is>
      </c>
      <c r="D162">
        <f>IF(AND(W23!H9&lt;&gt;"",W23!H9&lt;&gt;"✗"),1,0)</f>
        <v/>
      </c>
      <c r="E162">
        <f>IF(AND(W23!H10&lt;&gt;"",W23!H10&lt;&gt;"✗"),1,0)</f>
        <v/>
      </c>
      <c r="F162">
        <f>IF(AND(W23!H11&lt;&gt;"",W23!H11&lt;&gt;"✗"),1,0)</f>
        <v/>
      </c>
      <c r="G162">
        <f>IF(AND(W23!H12&lt;&gt;"",W23!H12&lt;&gt;"✗"),1,0)</f>
        <v/>
      </c>
      <c r="H162">
        <f>IF(AND(W23!H13&lt;&gt;"",W23!H13&lt;&gt;"✗"),1,0)</f>
        <v/>
      </c>
      <c r="I162">
        <f>IF(AND(W23!H14&lt;&gt;"",W23!H14&lt;&gt;"✗"),1,0)</f>
        <v/>
      </c>
      <c r="J162">
        <f>IF(AND(W23!H15&lt;&gt;"",W23!H15&lt;&gt;"✗"),1,0)</f>
        <v/>
      </c>
      <c r="K162">
        <f>IF(AND(W23!H16&lt;&gt;"",W23!H16&lt;&gt;"✗"),1,0)</f>
        <v/>
      </c>
      <c r="L162">
        <f>IF(AND(W23!H17&lt;&gt;"",W23!H17&lt;&gt;"✗"),1,0)</f>
        <v/>
      </c>
      <c r="M162">
        <f>IF(AND(W23!H18&lt;&gt;"",W23!H18&lt;&gt;"✗"),1,0)</f>
        <v/>
      </c>
      <c r="O162">
        <f>IF(D162=1,O161+1,0)</f>
        <v/>
      </c>
      <c r="P162">
        <f>IF(E162=1,P161+1,0)</f>
        <v/>
      </c>
      <c r="Q162">
        <f>IF(F162=1,Q161+1,0)</f>
        <v/>
      </c>
      <c r="R162">
        <f>IF(G162=1,R161+1,0)</f>
        <v/>
      </c>
      <c r="S162">
        <f>IF(H162=1,S161+1,0)</f>
        <v/>
      </c>
      <c r="T162">
        <f>IF(I162=1,T161+1,0)</f>
        <v/>
      </c>
      <c r="U162">
        <f>IF(J162=1,U161+1,0)</f>
        <v/>
      </c>
      <c r="V162">
        <f>IF(K162=1,V161+1,0)</f>
        <v/>
      </c>
      <c r="W162">
        <f>IF(L162=1,W161+1,0)</f>
        <v/>
      </c>
      <c r="X162">
        <f>IF(M162=1,X161+1,0)</f>
        <v/>
      </c>
    </row>
    <row r="163">
      <c r="A163" s="58">
        <f>'Start Here'!$E$6+160</f>
        <v/>
      </c>
      <c r="B163" t="n">
        <v>23</v>
      </c>
      <c r="C163" t="inlineStr">
        <is>
          <t>SUN</t>
        </is>
      </c>
      <c r="D163">
        <f>IF(AND(W23!I9&lt;&gt;"",W23!I9&lt;&gt;"✗"),1,0)</f>
        <v/>
      </c>
      <c r="E163">
        <f>IF(AND(W23!I10&lt;&gt;"",W23!I10&lt;&gt;"✗"),1,0)</f>
        <v/>
      </c>
      <c r="F163">
        <f>IF(AND(W23!I11&lt;&gt;"",W23!I11&lt;&gt;"✗"),1,0)</f>
        <v/>
      </c>
      <c r="G163">
        <f>IF(AND(W23!I12&lt;&gt;"",W23!I12&lt;&gt;"✗"),1,0)</f>
        <v/>
      </c>
      <c r="H163">
        <f>IF(AND(W23!I13&lt;&gt;"",W23!I13&lt;&gt;"✗"),1,0)</f>
        <v/>
      </c>
      <c r="I163">
        <f>IF(AND(W23!I14&lt;&gt;"",W23!I14&lt;&gt;"✗"),1,0)</f>
        <v/>
      </c>
      <c r="J163">
        <f>IF(AND(W23!I15&lt;&gt;"",W23!I15&lt;&gt;"✗"),1,0)</f>
        <v/>
      </c>
      <c r="K163">
        <f>IF(AND(W23!I16&lt;&gt;"",W23!I16&lt;&gt;"✗"),1,0)</f>
        <v/>
      </c>
      <c r="L163">
        <f>IF(AND(W23!I17&lt;&gt;"",W23!I17&lt;&gt;"✗"),1,0)</f>
        <v/>
      </c>
      <c r="M163">
        <f>IF(AND(W23!I18&lt;&gt;"",W23!I18&lt;&gt;"✗"),1,0)</f>
        <v/>
      </c>
      <c r="O163">
        <f>IF(D163=1,O162+1,0)</f>
        <v/>
      </c>
      <c r="P163">
        <f>IF(E163=1,P162+1,0)</f>
        <v/>
      </c>
      <c r="Q163">
        <f>IF(F163=1,Q162+1,0)</f>
        <v/>
      </c>
      <c r="R163">
        <f>IF(G163=1,R162+1,0)</f>
        <v/>
      </c>
      <c r="S163">
        <f>IF(H163=1,S162+1,0)</f>
        <v/>
      </c>
      <c r="T163">
        <f>IF(I163=1,T162+1,0)</f>
        <v/>
      </c>
      <c r="U163">
        <f>IF(J163=1,U162+1,0)</f>
        <v/>
      </c>
      <c r="V163">
        <f>IF(K163=1,V162+1,0)</f>
        <v/>
      </c>
      <c r="W163">
        <f>IF(L163=1,W162+1,0)</f>
        <v/>
      </c>
      <c r="X163">
        <f>IF(M163=1,X162+1,0)</f>
        <v/>
      </c>
    </row>
    <row r="164">
      <c r="A164" s="58">
        <f>'Start Here'!$E$6+161</f>
        <v/>
      </c>
      <c r="B164" t="n">
        <v>24</v>
      </c>
      <c r="C164" t="inlineStr">
        <is>
          <t>MON</t>
        </is>
      </c>
      <c r="D164">
        <f>IF(AND(W24!C9&lt;&gt;"",W24!C9&lt;&gt;"✗"),1,0)</f>
        <v/>
      </c>
      <c r="E164">
        <f>IF(AND(W24!C10&lt;&gt;"",W24!C10&lt;&gt;"✗"),1,0)</f>
        <v/>
      </c>
      <c r="F164">
        <f>IF(AND(W24!C11&lt;&gt;"",W24!C11&lt;&gt;"✗"),1,0)</f>
        <v/>
      </c>
      <c r="G164">
        <f>IF(AND(W24!C12&lt;&gt;"",W24!C12&lt;&gt;"✗"),1,0)</f>
        <v/>
      </c>
      <c r="H164">
        <f>IF(AND(W24!C13&lt;&gt;"",W24!C13&lt;&gt;"✗"),1,0)</f>
        <v/>
      </c>
      <c r="I164">
        <f>IF(AND(W24!C14&lt;&gt;"",W24!C14&lt;&gt;"✗"),1,0)</f>
        <v/>
      </c>
      <c r="J164">
        <f>IF(AND(W24!C15&lt;&gt;"",W24!C15&lt;&gt;"✗"),1,0)</f>
        <v/>
      </c>
      <c r="K164">
        <f>IF(AND(W24!C16&lt;&gt;"",W24!C16&lt;&gt;"✗"),1,0)</f>
        <v/>
      </c>
      <c r="L164">
        <f>IF(AND(W24!C17&lt;&gt;"",W24!C17&lt;&gt;"✗"),1,0)</f>
        <v/>
      </c>
      <c r="M164">
        <f>IF(AND(W24!C18&lt;&gt;"",W24!C18&lt;&gt;"✗"),1,0)</f>
        <v/>
      </c>
      <c r="O164">
        <f>IF(D164=1,O163+1,0)</f>
        <v/>
      </c>
      <c r="P164">
        <f>IF(E164=1,P163+1,0)</f>
        <v/>
      </c>
      <c r="Q164">
        <f>IF(F164=1,Q163+1,0)</f>
        <v/>
      </c>
      <c r="R164">
        <f>IF(G164=1,R163+1,0)</f>
        <v/>
      </c>
      <c r="S164">
        <f>IF(H164=1,S163+1,0)</f>
        <v/>
      </c>
      <c r="T164">
        <f>IF(I164=1,T163+1,0)</f>
        <v/>
      </c>
      <c r="U164">
        <f>IF(J164=1,U163+1,0)</f>
        <v/>
      </c>
      <c r="V164">
        <f>IF(K164=1,V163+1,0)</f>
        <v/>
      </c>
      <c r="W164">
        <f>IF(L164=1,W163+1,0)</f>
        <v/>
      </c>
      <c r="X164">
        <f>IF(M164=1,X163+1,0)</f>
        <v/>
      </c>
    </row>
    <row r="165">
      <c r="A165" s="58">
        <f>'Start Here'!$E$6+162</f>
        <v/>
      </c>
      <c r="B165" t="n">
        <v>24</v>
      </c>
      <c r="C165" t="inlineStr">
        <is>
          <t>TUE</t>
        </is>
      </c>
      <c r="D165">
        <f>IF(AND(W24!D9&lt;&gt;"",W24!D9&lt;&gt;"✗"),1,0)</f>
        <v/>
      </c>
      <c r="E165">
        <f>IF(AND(W24!D10&lt;&gt;"",W24!D10&lt;&gt;"✗"),1,0)</f>
        <v/>
      </c>
      <c r="F165">
        <f>IF(AND(W24!D11&lt;&gt;"",W24!D11&lt;&gt;"✗"),1,0)</f>
        <v/>
      </c>
      <c r="G165">
        <f>IF(AND(W24!D12&lt;&gt;"",W24!D12&lt;&gt;"✗"),1,0)</f>
        <v/>
      </c>
      <c r="H165">
        <f>IF(AND(W24!D13&lt;&gt;"",W24!D13&lt;&gt;"✗"),1,0)</f>
        <v/>
      </c>
      <c r="I165">
        <f>IF(AND(W24!D14&lt;&gt;"",W24!D14&lt;&gt;"✗"),1,0)</f>
        <v/>
      </c>
      <c r="J165">
        <f>IF(AND(W24!D15&lt;&gt;"",W24!D15&lt;&gt;"✗"),1,0)</f>
        <v/>
      </c>
      <c r="K165">
        <f>IF(AND(W24!D16&lt;&gt;"",W24!D16&lt;&gt;"✗"),1,0)</f>
        <v/>
      </c>
      <c r="L165">
        <f>IF(AND(W24!D17&lt;&gt;"",W24!D17&lt;&gt;"✗"),1,0)</f>
        <v/>
      </c>
      <c r="M165">
        <f>IF(AND(W24!D18&lt;&gt;"",W24!D18&lt;&gt;"✗"),1,0)</f>
        <v/>
      </c>
      <c r="O165">
        <f>IF(D165=1,O164+1,0)</f>
        <v/>
      </c>
      <c r="P165">
        <f>IF(E165=1,P164+1,0)</f>
        <v/>
      </c>
      <c r="Q165">
        <f>IF(F165=1,Q164+1,0)</f>
        <v/>
      </c>
      <c r="R165">
        <f>IF(G165=1,R164+1,0)</f>
        <v/>
      </c>
      <c r="S165">
        <f>IF(H165=1,S164+1,0)</f>
        <v/>
      </c>
      <c r="T165">
        <f>IF(I165=1,T164+1,0)</f>
        <v/>
      </c>
      <c r="U165">
        <f>IF(J165=1,U164+1,0)</f>
        <v/>
      </c>
      <c r="V165">
        <f>IF(K165=1,V164+1,0)</f>
        <v/>
      </c>
      <c r="W165">
        <f>IF(L165=1,W164+1,0)</f>
        <v/>
      </c>
      <c r="X165">
        <f>IF(M165=1,X164+1,0)</f>
        <v/>
      </c>
    </row>
    <row r="166">
      <c r="A166" s="58">
        <f>'Start Here'!$E$6+163</f>
        <v/>
      </c>
      <c r="B166" t="n">
        <v>24</v>
      </c>
      <c r="C166" t="inlineStr">
        <is>
          <t>WED</t>
        </is>
      </c>
      <c r="D166">
        <f>IF(AND(W24!E9&lt;&gt;"",W24!E9&lt;&gt;"✗"),1,0)</f>
        <v/>
      </c>
      <c r="E166">
        <f>IF(AND(W24!E10&lt;&gt;"",W24!E10&lt;&gt;"✗"),1,0)</f>
        <v/>
      </c>
      <c r="F166">
        <f>IF(AND(W24!E11&lt;&gt;"",W24!E11&lt;&gt;"✗"),1,0)</f>
        <v/>
      </c>
      <c r="G166">
        <f>IF(AND(W24!E12&lt;&gt;"",W24!E12&lt;&gt;"✗"),1,0)</f>
        <v/>
      </c>
      <c r="H166">
        <f>IF(AND(W24!E13&lt;&gt;"",W24!E13&lt;&gt;"✗"),1,0)</f>
        <v/>
      </c>
      <c r="I166">
        <f>IF(AND(W24!E14&lt;&gt;"",W24!E14&lt;&gt;"✗"),1,0)</f>
        <v/>
      </c>
      <c r="J166">
        <f>IF(AND(W24!E15&lt;&gt;"",W24!E15&lt;&gt;"✗"),1,0)</f>
        <v/>
      </c>
      <c r="K166">
        <f>IF(AND(W24!E16&lt;&gt;"",W24!E16&lt;&gt;"✗"),1,0)</f>
        <v/>
      </c>
      <c r="L166">
        <f>IF(AND(W24!E17&lt;&gt;"",W24!E17&lt;&gt;"✗"),1,0)</f>
        <v/>
      </c>
      <c r="M166">
        <f>IF(AND(W24!E18&lt;&gt;"",W24!E18&lt;&gt;"✗"),1,0)</f>
        <v/>
      </c>
      <c r="O166">
        <f>IF(D166=1,O165+1,0)</f>
        <v/>
      </c>
      <c r="P166">
        <f>IF(E166=1,P165+1,0)</f>
        <v/>
      </c>
      <c r="Q166">
        <f>IF(F166=1,Q165+1,0)</f>
        <v/>
      </c>
      <c r="R166">
        <f>IF(G166=1,R165+1,0)</f>
        <v/>
      </c>
      <c r="S166">
        <f>IF(H166=1,S165+1,0)</f>
        <v/>
      </c>
      <c r="T166">
        <f>IF(I166=1,T165+1,0)</f>
        <v/>
      </c>
      <c r="U166">
        <f>IF(J166=1,U165+1,0)</f>
        <v/>
      </c>
      <c r="V166">
        <f>IF(K166=1,V165+1,0)</f>
        <v/>
      </c>
      <c r="W166">
        <f>IF(L166=1,W165+1,0)</f>
        <v/>
      </c>
      <c r="X166">
        <f>IF(M166=1,X165+1,0)</f>
        <v/>
      </c>
    </row>
    <row r="167">
      <c r="A167" s="58">
        <f>'Start Here'!$E$6+164</f>
        <v/>
      </c>
      <c r="B167" t="n">
        <v>24</v>
      </c>
      <c r="C167" t="inlineStr">
        <is>
          <t>THU</t>
        </is>
      </c>
      <c r="D167">
        <f>IF(AND(W24!F9&lt;&gt;"",W24!F9&lt;&gt;"✗"),1,0)</f>
        <v/>
      </c>
      <c r="E167">
        <f>IF(AND(W24!F10&lt;&gt;"",W24!F10&lt;&gt;"✗"),1,0)</f>
        <v/>
      </c>
      <c r="F167">
        <f>IF(AND(W24!F11&lt;&gt;"",W24!F11&lt;&gt;"✗"),1,0)</f>
        <v/>
      </c>
      <c r="G167">
        <f>IF(AND(W24!F12&lt;&gt;"",W24!F12&lt;&gt;"✗"),1,0)</f>
        <v/>
      </c>
      <c r="H167">
        <f>IF(AND(W24!F13&lt;&gt;"",W24!F13&lt;&gt;"✗"),1,0)</f>
        <v/>
      </c>
      <c r="I167">
        <f>IF(AND(W24!F14&lt;&gt;"",W24!F14&lt;&gt;"✗"),1,0)</f>
        <v/>
      </c>
      <c r="J167">
        <f>IF(AND(W24!F15&lt;&gt;"",W24!F15&lt;&gt;"✗"),1,0)</f>
        <v/>
      </c>
      <c r="K167">
        <f>IF(AND(W24!F16&lt;&gt;"",W24!F16&lt;&gt;"✗"),1,0)</f>
        <v/>
      </c>
      <c r="L167">
        <f>IF(AND(W24!F17&lt;&gt;"",W24!F17&lt;&gt;"✗"),1,0)</f>
        <v/>
      </c>
      <c r="M167">
        <f>IF(AND(W24!F18&lt;&gt;"",W24!F18&lt;&gt;"✗"),1,0)</f>
        <v/>
      </c>
      <c r="O167">
        <f>IF(D167=1,O166+1,0)</f>
        <v/>
      </c>
      <c r="P167">
        <f>IF(E167=1,P166+1,0)</f>
        <v/>
      </c>
      <c r="Q167">
        <f>IF(F167=1,Q166+1,0)</f>
        <v/>
      </c>
      <c r="R167">
        <f>IF(G167=1,R166+1,0)</f>
        <v/>
      </c>
      <c r="S167">
        <f>IF(H167=1,S166+1,0)</f>
        <v/>
      </c>
      <c r="T167">
        <f>IF(I167=1,T166+1,0)</f>
        <v/>
      </c>
      <c r="U167">
        <f>IF(J167=1,U166+1,0)</f>
        <v/>
      </c>
      <c r="V167">
        <f>IF(K167=1,V166+1,0)</f>
        <v/>
      </c>
      <c r="W167">
        <f>IF(L167=1,W166+1,0)</f>
        <v/>
      </c>
      <c r="X167">
        <f>IF(M167=1,X166+1,0)</f>
        <v/>
      </c>
    </row>
    <row r="168">
      <c r="A168" s="58">
        <f>'Start Here'!$E$6+165</f>
        <v/>
      </c>
      <c r="B168" t="n">
        <v>24</v>
      </c>
      <c r="C168" t="inlineStr">
        <is>
          <t>FRI</t>
        </is>
      </c>
      <c r="D168">
        <f>IF(AND(W24!G9&lt;&gt;"",W24!G9&lt;&gt;"✗"),1,0)</f>
        <v/>
      </c>
      <c r="E168">
        <f>IF(AND(W24!G10&lt;&gt;"",W24!G10&lt;&gt;"✗"),1,0)</f>
        <v/>
      </c>
      <c r="F168">
        <f>IF(AND(W24!G11&lt;&gt;"",W24!G11&lt;&gt;"✗"),1,0)</f>
        <v/>
      </c>
      <c r="G168">
        <f>IF(AND(W24!G12&lt;&gt;"",W24!G12&lt;&gt;"✗"),1,0)</f>
        <v/>
      </c>
      <c r="H168">
        <f>IF(AND(W24!G13&lt;&gt;"",W24!G13&lt;&gt;"✗"),1,0)</f>
        <v/>
      </c>
      <c r="I168">
        <f>IF(AND(W24!G14&lt;&gt;"",W24!G14&lt;&gt;"✗"),1,0)</f>
        <v/>
      </c>
      <c r="J168">
        <f>IF(AND(W24!G15&lt;&gt;"",W24!G15&lt;&gt;"✗"),1,0)</f>
        <v/>
      </c>
      <c r="K168">
        <f>IF(AND(W24!G16&lt;&gt;"",W24!G16&lt;&gt;"✗"),1,0)</f>
        <v/>
      </c>
      <c r="L168">
        <f>IF(AND(W24!G17&lt;&gt;"",W24!G17&lt;&gt;"✗"),1,0)</f>
        <v/>
      </c>
      <c r="M168">
        <f>IF(AND(W24!G18&lt;&gt;"",W24!G18&lt;&gt;"✗"),1,0)</f>
        <v/>
      </c>
      <c r="O168">
        <f>IF(D168=1,O167+1,0)</f>
        <v/>
      </c>
      <c r="P168">
        <f>IF(E168=1,P167+1,0)</f>
        <v/>
      </c>
      <c r="Q168">
        <f>IF(F168=1,Q167+1,0)</f>
        <v/>
      </c>
      <c r="R168">
        <f>IF(G168=1,R167+1,0)</f>
        <v/>
      </c>
      <c r="S168">
        <f>IF(H168=1,S167+1,0)</f>
        <v/>
      </c>
      <c r="T168">
        <f>IF(I168=1,T167+1,0)</f>
        <v/>
      </c>
      <c r="U168">
        <f>IF(J168=1,U167+1,0)</f>
        <v/>
      </c>
      <c r="V168">
        <f>IF(K168=1,V167+1,0)</f>
        <v/>
      </c>
      <c r="W168">
        <f>IF(L168=1,W167+1,0)</f>
        <v/>
      </c>
      <c r="X168">
        <f>IF(M168=1,X167+1,0)</f>
        <v/>
      </c>
    </row>
    <row r="169">
      <c r="A169" s="58">
        <f>'Start Here'!$E$6+166</f>
        <v/>
      </c>
      <c r="B169" t="n">
        <v>24</v>
      </c>
      <c r="C169" t="inlineStr">
        <is>
          <t>SAT</t>
        </is>
      </c>
      <c r="D169">
        <f>IF(AND(W24!H9&lt;&gt;"",W24!H9&lt;&gt;"✗"),1,0)</f>
        <v/>
      </c>
      <c r="E169">
        <f>IF(AND(W24!H10&lt;&gt;"",W24!H10&lt;&gt;"✗"),1,0)</f>
        <v/>
      </c>
      <c r="F169">
        <f>IF(AND(W24!H11&lt;&gt;"",W24!H11&lt;&gt;"✗"),1,0)</f>
        <v/>
      </c>
      <c r="G169">
        <f>IF(AND(W24!H12&lt;&gt;"",W24!H12&lt;&gt;"✗"),1,0)</f>
        <v/>
      </c>
      <c r="H169">
        <f>IF(AND(W24!H13&lt;&gt;"",W24!H13&lt;&gt;"✗"),1,0)</f>
        <v/>
      </c>
      <c r="I169">
        <f>IF(AND(W24!H14&lt;&gt;"",W24!H14&lt;&gt;"✗"),1,0)</f>
        <v/>
      </c>
      <c r="J169">
        <f>IF(AND(W24!H15&lt;&gt;"",W24!H15&lt;&gt;"✗"),1,0)</f>
        <v/>
      </c>
      <c r="K169">
        <f>IF(AND(W24!H16&lt;&gt;"",W24!H16&lt;&gt;"✗"),1,0)</f>
        <v/>
      </c>
      <c r="L169">
        <f>IF(AND(W24!H17&lt;&gt;"",W24!H17&lt;&gt;"✗"),1,0)</f>
        <v/>
      </c>
      <c r="M169">
        <f>IF(AND(W24!H18&lt;&gt;"",W24!H18&lt;&gt;"✗"),1,0)</f>
        <v/>
      </c>
      <c r="O169">
        <f>IF(D169=1,O168+1,0)</f>
        <v/>
      </c>
      <c r="P169">
        <f>IF(E169=1,P168+1,0)</f>
        <v/>
      </c>
      <c r="Q169">
        <f>IF(F169=1,Q168+1,0)</f>
        <v/>
      </c>
      <c r="R169">
        <f>IF(G169=1,R168+1,0)</f>
        <v/>
      </c>
      <c r="S169">
        <f>IF(H169=1,S168+1,0)</f>
        <v/>
      </c>
      <c r="T169">
        <f>IF(I169=1,T168+1,0)</f>
        <v/>
      </c>
      <c r="U169">
        <f>IF(J169=1,U168+1,0)</f>
        <v/>
      </c>
      <c r="V169">
        <f>IF(K169=1,V168+1,0)</f>
        <v/>
      </c>
      <c r="W169">
        <f>IF(L169=1,W168+1,0)</f>
        <v/>
      </c>
      <c r="X169">
        <f>IF(M169=1,X168+1,0)</f>
        <v/>
      </c>
    </row>
    <row r="170">
      <c r="A170" s="58">
        <f>'Start Here'!$E$6+167</f>
        <v/>
      </c>
      <c r="B170" t="n">
        <v>24</v>
      </c>
      <c r="C170" t="inlineStr">
        <is>
          <t>SUN</t>
        </is>
      </c>
      <c r="D170">
        <f>IF(AND(W24!I9&lt;&gt;"",W24!I9&lt;&gt;"✗"),1,0)</f>
        <v/>
      </c>
      <c r="E170">
        <f>IF(AND(W24!I10&lt;&gt;"",W24!I10&lt;&gt;"✗"),1,0)</f>
        <v/>
      </c>
      <c r="F170">
        <f>IF(AND(W24!I11&lt;&gt;"",W24!I11&lt;&gt;"✗"),1,0)</f>
        <v/>
      </c>
      <c r="G170">
        <f>IF(AND(W24!I12&lt;&gt;"",W24!I12&lt;&gt;"✗"),1,0)</f>
        <v/>
      </c>
      <c r="H170">
        <f>IF(AND(W24!I13&lt;&gt;"",W24!I13&lt;&gt;"✗"),1,0)</f>
        <v/>
      </c>
      <c r="I170">
        <f>IF(AND(W24!I14&lt;&gt;"",W24!I14&lt;&gt;"✗"),1,0)</f>
        <v/>
      </c>
      <c r="J170">
        <f>IF(AND(W24!I15&lt;&gt;"",W24!I15&lt;&gt;"✗"),1,0)</f>
        <v/>
      </c>
      <c r="K170">
        <f>IF(AND(W24!I16&lt;&gt;"",W24!I16&lt;&gt;"✗"),1,0)</f>
        <v/>
      </c>
      <c r="L170">
        <f>IF(AND(W24!I17&lt;&gt;"",W24!I17&lt;&gt;"✗"),1,0)</f>
        <v/>
      </c>
      <c r="M170">
        <f>IF(AND(W24!I18&lt;&gt;"",W24!I18&lt;&gt;"✗"),1,0)</f>
        <v/>
      </c>
      <c r="O170">
        <f>IF(D170=1,O169+1,0)</f>
        <v/>
      </c>
      <c r="P170">
        <f>IF(E170=1,P169+1,0)</f>
        <v/>
      </c>
      <c r="Q170">
        <f>IF(F170=1,Q169+1,0)</f>
        <v/>
      </c>
      <c r="R170">
        <f>IF(G170=1,R169+1,0)</f>
        <v/>
      </c>
      <c r="S170">
        <f>IF(H170=1,S169+1,0)</f>
        <v/>
      </c>
      <c r="T170">
        <f>IF(I170=1,T169+1,0)</f>
        <v/>
      </c>
      <c r="U170">
        <f>IF(J170=1,U169+1,0)</f>
        <v/>
      </c>
      <c r="V170">
        <f>IF(K170=1,V169+1,0)</f>
        <v/>
      </c>
      <c r="W170">
        <f>IF(L170=1,W169+1,0)</f>
        <v/>
      </c>
      <c r="X170">
        <f>IF(M170=1,X169+1,0)</f>
        <v/>
      </c>
    </row>
    <row r="171">
      <c r="A171" s="58">
        <f>'Start Here'!$E$6+168</f>
        <v/>
      </c>
      <c r="B171" t="n">
        <v>25</v>
      </c>
      <c r="C171" t="inlineStr">
        <is>
          <t>MON</t>
        </is>
      </c>
      <c r="D171">
        <f>IF(AND(W25!C9&lt;&gt;"",W25!C9&lt;&gt;"✗"),1,0)</f>
        <v/>
      </c>
      <c r="E171">
        <f>IF(AND(W25!C10&lt;&gt;"",W25!C10&lt;&gt;"✗"),1,0)</f>
        <v/>
      </c>
      <c r="F171">
        <f>IF(AND(W25!C11&lt;&gt;"",W25!C11&lt;&gt;"✗"),1,0)</f>
        <v/>
      </c>
      <c r="G171">
        <f>IF(AND(W25!C12&lt;&gt;"",W25!C12&lt;&gt;"✗"),1,0)</f>
        <v/>
      </c>
      <c r="H171">
        <f>IF(AND(W25!C13&lt;&gt;"",W25!C13&lt;&gt;"✗"),1,0)</f>
        <v/>
      </c>
      <c r="I171">
        <f>IF(AND(W25!C14&lt;&gt;"",W25!C14&lt;&gt;"✗"),1,0)</f>
        <v/>
      </c>
      <c r="J171">
        <f>IF(AND(W25!C15&lt;&gt;"",W25!C15&lt;&gt;"✗"),1,0)</f>
        <v/>
      </c>
      <c r="K171">
        <f>IF(AND(W25!C16&lt;&gt;"",W25!C16&lt;&gt;"✗"),1,0)</f>
        <v/>
      </c>
      <c r="L171">
        <f>IF(AND(W25!C17&lt;&gt;"",W25!C17&lt;&gt;"✗"),1,0)</f>
        <v/>
      </c>
      <c r="M171">
        <f>IF(AND(W25!C18&lt;&gt;"",W25!C18&lt;&gt;"✗"),1,0)</f>
        <v/>
      </c>
      <c r="O171">
        <f>IF(D171=1,O170+1,0)</f>
        <v/>
      </c>
      <c r="P171">
        <f>IF(E171=1,P170+1,0)</f>
        <v/>
      </c>
      <c r="Q171">
        <f>IF(F171=1,Q170+1,0)</f>
        <v/>
      </c>
      <c r="R171">
        <f>IF(G171=1,R170+1,0)</f>
        <v/>
      </c>
      <c r="S171">
        <f>IF(H171=1,S170+1,0)</f>
        <v/>
      </c>
      <c r="T171">
        <f>IF(I171=1,T170+1,0)</f>
        <v/>
      </c>
      <c r="U171">
        <f>IF(J171=1,U170+1,0)</f>
        <v/>
      </c>
      <c r="V171">
        <f>IF(K171=1,V170+1,0)</f>
        <v/>
      </c>
      <c r="W171">
        <f>IF(L171=1,W170+1,0)</f>
        <v/>
      </c>
      <c r="X171">
        <f>IF(M171=1,X170+1,0)</f>
        <v/>
      </c>
    </row>
    <row r="172">
      <c r="A172" s="58">
        <f>'Start Here'!$E$6+169</f>
        <v/>
      </c>
      <c r="B172" t="n">
        <v>25</v>
      </c>
      <c r="C172" t="inlineStr">
        <is>
          <t>TUE</t>
        </is>
      </c>
      <c r="D172">
        <f>IF(AND(W25!D9&lt;&gt;"",W25!D9&lt;&gt;"✗"),1,0)</f>
        <v/>
      </c>
      <c r="E172">
        <f>IF(AND(W25!D10&lt;&gt;"",W25!D10&lt;&gt;"✗"),1,0)</f>
        <v/>
      </c>
      <c r="F172">
        <f>IF(AND(W25!D11&lt;&gt;"",W25!D11&lt;&gt;"✗"),1,0)</f>
        <v/>
      </c>
      <c r="G172">
        <f>IF(AND(W25!D12&lt;&gt;"",W25!D12&lt;&gt;"✗"),1,0)</f>
        <v/>
      </c>
      <c r="H172">
        <f>IF(AND(W25!D13&lt;&gt;"",W25!D13&lt;&gt;"✗"),1,0)</f>
        <v/>
      </c>
      <c r="I172">
        <f>IF(AND(W25!D14&lt;&gt;"",W25!D14&lt;&gt;"✗"),1,0)</f>
        <v/>
      </c>
      <c r="J172">
        <f>IF(AND(W25!D15&lt;&gt;"",W25!D15&lt;&gt;"✗"),1,0)</f>
        <v/>
      </c>
      <c r="K172">
        <f>IF(AND(W25!D16&lt;&gt;"",W25!D16&lt;&gt;"✗"),1,0)</f>
        <v/>
      </c>
      <c r="L172">
        <f>IF(AND(W25!D17&lt;&gt;"",W25!D17&lt;&gt;"✗"),1,0)</f>
        <v/>
      </c>
      <c r="M172">
        <f>IF(AND(W25!D18&lt;&gt;"",W25!D18&lt;&gt;"✗"),1,0)</f>
        <v/>
      </c>
      <c r="O172">
        <f>IF(D172=1,O171+1,0)</f>
        <v/>
      </c>
      <c r="P172">
        <f>IF(E172=1,P171+1,0)</f>
        <v/>
      </c>
      <c r="Q172">
        <f>IF(F172=1,Q171+1,0)</f>
        <v/>
      </c>
      <c r="R172">
        <f>IF(G172=1,R171+1,0)</f>
        <v/>
      </c>
      <c r="S172">
        <f>IF(H172=1,S171+1,0)</f>
        <v/>
      </c>
      <c r="T172">
        <f>IF(I172=1,T171+1,0)</f>
        <v/>
      </c>
      <c r="U172">
        <f>IF(J172=1,U171+1,0)</f>
        <v/>
      </c>
      <c r="V172">
        <f>IF(K172=1,V171+1,0)</f>
        <v/>
      </c>
      <c r="W172">
        <f>IF(L172=1,W171+1,0)</f>
        <v/>
      </c>
      <c r="X172">
        <f>IF(M172=1,X171+1,0)</f>
        <v/>
      </c>
    </row>
    <row r="173">
      <c r="A173" s="58">
        <f>'Start Here'!$E$6+170</f>
        <v/>
      </c>
      <c r="B173" t="n">
        <v>25</v>
      </c>
      <c r="C173" t="inlineStr">
        <is>
          <t>WED</t>
        </is>
      </c>
      <c r="D173">
        <f>IF(AND(W25!E9&lt;&gt;"",W25!E9&lt;&gt;"✗"),1,0)</f>
        <v/>
      </c>
      <c r="E173">
        <f>IF(AND(W25!E10&lt;&gt;"",W25!E10&lt;&gt;"✗"),1,0)</f>
        <v/>
      </c>
      <c r="F173">
        <f>IF(AND(W25!E11&lt;&gt;"",W25!E11&lt;&gt;"✗"),1,0)</f>
        <v/>
      </c>
      <c r="G173">
        <f>IF(AND(W25!E12&lt;&gt;"",W25!E12&lt;&gt;"✗"),1,0)</f>
        <v/>
      </c>
      <c r="H173">
        <f>IF(AND(W25!E13&lt;&gt;"",W25!E13&lt;&gt;"✗"),1,0)</f>
        <v/>
      </c>
      <c r="I173">
        <f>IF(AND(W25!E14&lt;&gt;"",W25!E14&lt;&gt;"✗"),1,0)</f>
        <v/>
      </c>
      <c r="J173">
        <f>IF(AND(W25!E15&lt;&gt;"",W25!E15&lt;&gt;"✗"),1,0)</f>
        <v/>
      </c>
      <c r="K173">
        <f>IF(AND(W25!E16&lt;&gt;"",W25!E16&lt;&gt;"✗"),1,0)</f>
        <v/>
      </c>
      <c r="L173">
        <f>IF(AND(W25!E17&lt;&gt;"",W25!E17&lt;&gt;"✗"),1,0)</f>
        <v/>
      </c>
      <c r="M173">
        <f>IF(AND(W25!E18&lt;&gt;"",W25!E18&lt;&gt;"✗"),1,0)</f>
        <v/>
      </c>
      <c r="O173">
        <f>IF(D173=1,O172+1,0)</f>
        <v/>
      </c>
      <c r="P173">
        <f>IF(E173=1,P172+1,0)</f>
        <v/>
      </c>
      <c r="Q173">
        <f>IF(F173=1,Q172+1,0)</f>
        <v/>
      </c>
      <c r="R173">
        <f>IF(G173=1,R172+1,0)</f>
        <v/>
      </c>
      <c r="S173">
        <f>IF(H173=1,S172+1,0)</f>
        <v/>
      </c>
      <c r="T173">
        <f>IF(I173=1,T172+1,0)</f>
        <v/>
      </c>
      <c r="U173">
        <f>IF(J173=1,U172+1,0)</f>
        <v/>
      </c>
      <c r="V173">
        <f>IF(K173=1,V172+1,0)</f>
        <v/>
      </c>
      <c r="W173">
        <f>IF(L173=1,W172+1,0)</f>
        <v/>
      </c>
      <c r="X173">
        <f>IF(M173=1,X172+1,0)</f>
        <v/>
      </c>
    </row>
    <row r="174">
      <c r="A174" s="58">
        <f>'Start Here'!$E$6+171</f>
        <v/>
      </c>
      <c r="B174" t="n">
        <v>25</v>
      </c>
      <c r="C174" t="inlineStr">
        <is>
          <t>THU</t>
        </is>
      </c>
      <c r="D174">
        <f>IF(AND(W25!F9&lt;&gt;"",W25!F9&lt;&gt;"✗"),1,0)</f>
        <v/>
      </c>
      <c r="E174">
        <f>IF(AND(W25!F10&lt;&gt;"",W25!F10&lt;&gt;"✗"),1,0)</f>
        <v/>
      </c>
      <c r="F174">
        <f>IF(AND(W25!F11&lt;&gt;"",W25!F11&lt;&gt;"✗"),1,0)</f>
        <v/>
      </c>
      <c r="G174">
        <f>IF(AND(W25!F12&lt;&gt;"",W25!F12&lt;&gt;"✗"),1,0)</f>
        <v/>
      </c>
      <c r="H174">
        <f>IF(AND(W25!F13&lt;&gt;"",W25!F13&lt;&gt;"✗"),1,0)</f>
        <v/>
      </c>
      <c r="I174">
        <f>IF(AND(W25!F14&lt;&gt;"",W25!F14&lt;&gt;"✗"),1,0)</f>
        <v/>
      </c>
      <c r="J174">
        <f>IF(AND(W25!F15&lt;&gt;"",W25!F15&lt;&gt;"✗"),1,0)</f>
        <v/>
      </c>
      <c r="K174">
        <f>IF(AND(W25!F16&lt;&gt;"",W25!F16&lt;&gt;"✗"),1,0)</f>
        <v/>
      </c>
      <c r="L174">
        <f>IF(AND(W25!F17&lt;&gt;"",W25!F17&lt;&gt;"✗"),1,0)</f>
        <v/>
      </c>
      <c r="M174">
        <f>IF(AND(W25!F18&lt;&gt;"",W25!F18&lt;&gt;"✗"),1,0)</f>
        <v/>
      </c>
      <c r="O174">
        <f>IF(D174=1,O173+1,0)</f>
        <v/>
      </c>
      <c r="P174">
        <f>IF(E174=1,P173+1,0)</f>
        <v/>
      </c>
      <c r="Q174">
        <f>IF(F174=1,Q173+1,0)</f>
        <v/>
      </c>
      <c r="R174">
        <f>IF(G174=1,R173+1,0)</f>
        <v/>
      </c>
      <c r="S174">
        <f>IF(H174=1,S173+1,0)</f>
        <v/>
      </c>
      <c r="T174">
        <f>IF(I174=1,T173+1,0)</f>
        <v/>
      </c>
      <c r="U174">
        <f>IF(J174=1,U173+1,0)</f>
        <v/>
      </c>
      <c r="V174">
        <f>IF(K174=1,V173+1,0)</f>
        <v/>
      </c>
      <c r="W174">
        <f>IF(L174=1,W173+1,0)</f>
        <v/>
      </c>
      <c r="X174">
        <f>IF(M174=1,X173+1,0)</f>
        <v/>
      </c>
    </row>
    <row r="175">
      <c r="A175" s="58">
        <f>'Start Here'!$E$6+172</f>
        <v/>
      </c>
      <c r="B175" t="n">
        <v>25</v>
      </c>
      <c r="C175" t="inlineStr">
        <is>
          <t>FRI</t>
        </is>
      </c>
      <c r="D175">
        <f>IF(AND(W25!G9&lt;&gt;"",W25!G9&lt;&gt;"✗"),1,0)</f>
        <v/>
      </c>
      <c r="E175">
        <f>IF(AND(W25!G10&lt;&gt;"",W25!G10&lt;&gt;"✗"),1,0)</f>
        <v/>
      </c>
      <c r="F175">
        <f>IF(AND(W25!G11&lt;&gt;"",W25!G11&lt;&gt;"✗"),1,0)</f>
        <v/>
      </c>
      <c r="G175">
        <f>IF(AND(W25!G12&lt;&gt;"",W25!G12&lt;&gt;"✗"),1,0)</f>
        <v/>
      </c>
      <c r="H175">
        <f>IF(AND(W25!G13&lt;&gt;"",W25!G13&lt;&gt;"✗"),1,0)</f>
        <v/>
      </c>
      <c r="I175">
        <f>IF(AND(W25!G14&lt;&gt;"",W25!G14&lt;&gt;"✗"),1,0)</f>
        <v/>
      </c>
      <c r="J175">
        <f>IF(AND(W25!G15&lt;&gt;"",W25!G15&lt;&gt;"✗"),1,0)</f>
        <v/>
      </c>
      <c r="K175">
        <f>IF(AND(W25!G16&lt;&gt;"",W25!G16&lt;&gt;"✗"),1,0)</f>
        <v/>
      </c>
      <c r="L175">
        <f>IF(AND(W25!G17&lt;&gt;"",W25!G17&lt;&gt;"✗"),1,0)</f>
        <v/>
      </c>
      <c r="M175">
        <f>IF(AND(W25!G18&lt;&gt;"",W25!G18&lt;&gt;"✗"),1,0)</f>
        <v/>
      </c>
      <c r="O175">
        <f>IF(D175=1,O174+1,0)</f>
        <v/>
      </c>
      <c r="P175">
        <f>IF(E175=1,P174+1,0)</f>
        <v/>
      </c>
      <c r="Q175">
        <f>IF(F175=1,Q174+1,0)</f>
        <v/>
      </c>
      <c r="R175">
        <f>IF(G175=1,R174+1,0)</f>
        <v/>
      </c>
      <c r="S175">
        <f>IF(H175=1,S174+1,0)</f>
        <v/>
      </c>
      <c r="T175">
        <f>IF(I175=1,T174+1,0)</f>
        <v/>
      </c>
      <c r="U175">
        <f>IF(J175=1,U174+1,0)</f>
        <v/>
      </c>
      <c r="V175">
        <f>IF(K175=1,V174+1,0)</f>
        <v/>
      </c>
      <c r="W175">
        <f>IF(L175=1,W174+1,0)</f>
        <v/>
      </c>
      <c r="X175">
        <f>IF(M175=1,X174+1,0)</f>
        <v/>
      </c>
    </row>
    <row r="176">
      <c r="A176" s="58">
        <f>'Start Here'!$E$6+173</f>
        <v/>
      </c>
      <c r="B176" t="n">
        <v>25</v>
      </c>
      <c r="C176" t="inlineStr">
        <is>
          <t>SAT</t>
        </is>
      </c>
      <c r="D176">
        <f>IF(AND(W25!H9&lt;&gt;"",W25!H9&lt;&gt;"✗"),1,0)</f>
        <v/>
      </c>
      <c r="E176">
        <f>IF(AND(W25!H10&lt;&gt;"",W25!H10&lt;&gt;"✗"),1,0)</f>
        <v/>
      </c>
      <c r="F176">
        <f>IF(AND(W25!H11&lt;&gt;"",W25!H11&lt;&gt;"✗"),1,0)</f>
        <v/>
      </c>
      <c r="G176">
        <f>IF(AND(W25!H12&lt;&gt;"",W25!H12&lt;&gt;"✗"),1,0)</f>
        <v/>
      </c>
      <c r="H176">
        <f>IF(AND(W25!H13&lt;&gt;"",W25!H13&lt;&gt;"✗"),1,0)</f>
        <v/>
      </c>
      <c r="I176">
        <f>IF(AND(W25!H14&lt;&gt;"",W25!H14&lt;&gt;"✗"),1,0)</f>
        <v/>
      </c>
      <c r="J176">
        <f>IF(AND(W25!H15&lt;&gt;"",W25!H15&lt;&gt;"✗"),1,0)</f>
        <v/>
      </c>
      <c r="K176">
        <f>IF(AND(W25!H16&lt;&gt;"",W25!H16&lt;&gt;"✗"),1,0)</f>
        <v/>
      </c>
      <c r="L176">
        <f>IF(AND(W25!H17&lt;&gt;"",W25!H17&lt;&gt;"✗"),1,0)</f>
        <v/>
      </c>
      <c r="M176">
        <f>IF(AND(W25!H18&lt;&gt;"",W25!H18&lt;&gt;"✗"),1,0)</f>
        <v/>
      </c>
      <c r="O176">
        <f>IF(D176=1,O175+1,0)</f>
        <v/>
      </c>
      <c r="P176">
        <f>IF(E176=1,P175+1,0)</f>
        <v/>
      </c>
      <c r="Q176">
        <f>IF(F176=1,Q175+1,0)</f>
        <v/>
      </c>
      <c r="R176">
        <f>IF(G176=1,R175+1,0)</f>
        <v/>
      </c>
      <c r="S176">
        <f>IF(H176=1,S175+1,0)</f>
        <v/>
      </c>
      <c r="T176">
        <f>IF(I176=1,T175+1,0)</f>
        <v/>
      </c>
      <c r="U176">
        <f>IF(J176=1,U175+1,0)</f>
        <v/>
      </c>
      <c r="V176">
        <f>IF(K176=1,V175+1,0)</f>
        <v/>
      </c>
      <c r="W176">
        <f>IF(L176=1,W175+1,0)</f>
        <v/>
      </c>
      <c r="X176">
        <f>IF(M176=1,X175+1,0)</f>
        <v/>
      </c>
    </row>
    <row r="177">
      <c r="A177" s="58">
        <f>'Start Here'!$E$6+174</f>
        <v/>
      </c>
      <c r="B177" t="n">
        <v>25</v>
      </c>
      <c r="C177" t="inlineStr">
        <is>
          <t>SUN</t>
        </is>
      </c>
      <c r="D177">
        <f>IF(AND(W25!I9&lt;&gt;"",W25!I9&lt;&gt;"✗"),1,0)</f>
        <v/>
      </c>
      <c r="E177">
        <f>IF(AND(W25!I10&lt;&gt;"",W25!I10&lt;&gt;"✗"),1,0)</f>
        <v/>
      </c>
      <c r="F177">
        <f>IF(AND(W25!I11&lt;&gt;"",W25!I11&lt;&gt;"✗"),1,0)</f>
        <v/>
      </c>
      <c r="G177">
        <f>IF(AND(W25!I12&lt;&gt;"",W25!I12&lt;&gt;"✗"),1,0)</f>
        <v/>
      </c>
      <c r="H177">
        <f>IF(AND(W25!I13&lt;&gt;"",W25!I13&lt;&gt;"✗"),1,0)</f>
        <v/>
      </c>
      <c r="I177">
        <f>IF(AND(W25!I14&lt;&gt;"",W25!I14&lt;&gt;"✗"),1,0)</f>
        <v/>
      </c>
      <c r="J177">
        <f>IF(AND(W25!I15&lt;&gt;"",W25!I15&lt;&gt;"✗"),1,0)</f>
        <v/>
      </c>
      <c r="K177">
        <f>IF(AND(W25!I16&lt;&gt;"",W25!I16&lt;&gt;"✗"),1,0)</f>
        <v/>
      </c>
      <c r="L177">
        <f>IF(AND(W25!I17&lt;&gt;"",W25!I17&lt;&gt;"✗"),1,0)</f>
        <v/>
      </c>
      <c r="M177">
        <f>IF(AND(W25!I18&lt;&gt;"",W25!I18&lt;&gt;"✗"),1,0)</f>
        <v/>
      </c>
      <c r="O177">
        <f>IF(D177=1,O176+1,0)</f>
        <v/>
      </c>
      <c r="P177">
        <f>IF(E177=1,P176+1,0)</f>
        <v/>
      </c>
      <c r="Q177">
        <f>IF(F177=1,Q176+1,0)</f>
        <v/>
      </c>
      <c r="R177">
        <f>IF(G177=1,R176+1,0)</f>
        <v/>
      </c>
      <c r="S177">
        <f>IF(H177=1,S176+1,0)</f>
        <v/>
      </c>
      <c r="T177">
        <f>IF(I177=1,T176+1,0)</f>
        <v/>
      </c>
      <c r="U177">
        <f>IF(J177=1,U176+1,0)</f>
        <v/>
      </c>
      <c r="V177">
        <f>IF(K177=1,V176+1,0)</f>
        <v/>
      </c>
      <c r="W177">
        <f>IF(L177=1,W176+1,0)</f>
        <v/>
      </c>
      <c r="X177">
        <f>IF(M177=1,X176+1,0)</f>
        <v/>
      </c>
    </row>
    <row r="178">
      <c r="A178" s="58">
        <f>'Start Here'!$E$6+175</f>
        <v/>
      </c>
      <c r="B178" t="n">
        <v>26</v>
      </c>
      <c r="C178" t="inlineStr">
        <is>
          <t>MON</t>
        </is>
      </c>
      <c r="D178">
        <f>IF(AND(W26!C9&lt;&gt;"",W26!C9&lt;&gt;"✗"),1,0)</f>
        <v/>
      </c>
      <c r="E178">
        <f>IF(AND(W26!C10&lt;&gt;"",W26!C10&lt;&gt;"✗"),1,0)</f>
        <v/>
      </c>
      <c r="F178">
        <f>IF(AND(W26!C11&lt;&gt;"",W26!C11&lt;&gt;"✗"),1,0)</f>
        <v/>
      </c>
      <c r="G178">
        <f>IF(AND(W26!C12&lt;&gt;"",W26!C12&lt;&gt;"✗"),1,0)</f>
        <v/>
      </c>
      <c r="H178">
        <f>IF(AND(W26!C13&lt;&gt;"",W26!C13&lt;&gt;"✗"),1,0)</f>
        <v/>
      </c>
      <c r="I178">
        <f>IF(AND(W26!C14&lt;&gt;"",W26!C14&lt;&gt;"✗"),1,0)</f>
        <v/>
      </c>
      <c r="J178">
        <f>IF(AND(W26!C15&lt;&gt;"",W26!C15&lt;&gt;"✗"),1,0)</f>
        <v/>
      </c>
      <c r="K178">
        <f>IF(AND(W26!C16&lt;&gt;"",W26!C16&lt;&gt;"✗"),1,0)</f>
        <v/>
      </c>
      <c r="L178">
        <f>IF(AND(W26!C17&lt;&gt;"",W26!C17&lt;&gt;"✗"),1,0)</f>
        <v/>
      </c>
      <c r="M178">
        <f>IF(AND(W26!C18&lt;&gt;"",W26!C18&lt;&gt;"✗"),1,0)</f>
        <v/>
      </c>
      <c r="O178">
        <f>IF(D178=1,O177+1,0)</f>
        <v/>
      </c>
      <c r="P178">
        <f>IF(E178=1,P177+1,0)</f>
        <v/>
      </c>
      <c r="Q178">
        <f>IF(F178=1,Q177+1,0)</f>
        <v/>
      </c>
      <c r="R178">
        <f>IF(G178=1,R177+1,0)</f>
        <v/>
      </c>
      <c r="S178">
        <f>IF(H178=1,S177+1,0)</f>
        <v/>
      </c>
      <c r="T178">
        <f>IF(I178=1,T177+1,0)</f>
        <v/>
      </c>
      <c r="U178">
        <f>IF(J178=1,U177+1,0)</f>
        <v/>
      </c>
      <c r="V178">
        <f>IF(K178=1,V177+1,0)</f>
        <v/>
      </c>
      <c r="W178">
        <f>IF(L178=1,W177+1,0)</f>
        <v/>
      </c>
      <c r="X178">
        <f>IF(M178=1,X177+1,0)</f>
        <v/>
      </c>
    </row>
    <row r="179">
      <c r="A179" s="58">
        <f>'Start Here'!$E$6+176</f>
        <v/>
      </c>
      <c r="B179" t="n">
        <v>26</v>
      </c>
      <c r="C179" t="inlineStr">
        <is>
          <t>TUE</t>
        </is>
      </c>
      <c r="D179">
        <f>IF(AND(W26!D9&lt;&gt;"",W26!D9&lt;&gt;"✗"),1,0)</f>
        <v/>
      </c>
      <c r="E179">
        <f>IF(AND(W26!D10&lt;&gt;"",W26!D10&lt;&gt;"✗"),1,0)</f>
        <v/>
      </c>
      <c r="F179">
        <f>IF(AND(W26!D11&lt;&gt;"",W26!D11&lt;&gt;"✗"),1,0)</f>
        <v/>
      </c>
      <c r="G179">
        <f>IF(AND(W26!D12&lt;&gt;"",W26!D12&lt;&gt;"✗"),1,0)</f>
        <v/>
      </c>
      <c r="H179">
        <f>IF(AND(W26!D13&lt;&gt;"",W26!D13&lt;&gt;"✗"),1,0)</f>
        <v/>
      </c>
      <c r="I179">
        <f>IF(AND(W26!D14&lt;&gt;"",W26!D14&lt;&gt;"✗"),1,0)</f>
        <v/>
      </c>
      <c r="J179">
        <f>IF(AND(W26!D15&lt;&gt;"",W26!D15&lt;&gt;"✗"),1,0)</f>
        <v/>
      </c>
      <c r="K179">
        <f>IF(AND(W26!D16&lt;&gt;"",W26!D16&lt;&gt;"✗"),1,0)</f>
        <v/>
      </c>
      <c r="L179">
        <f>IF(AND(W26!D17&lt;&gt;"",W26!D17&lt;&gt;"✗"),1,0)</f>
        <v/>
      </c>
      <c r="M179">
        <f>IF(AND(W26!D18&lt;&gt;"",W26!D18&lt;&gt;"✗"),1,0)</f>
        <v/>
      </c>
      <c r="O179">
        <f>IF(D179=1,O178+1,0)</f>
        <v/>
      </c>
      <c r="P179">
        <f>IF(E179=1,P178+1,0)</f>
        <v/>
      </c>
      <c r="Q179">
        <f>IF(F179=1,Q178+1,0)</f>
        <v/>
      </c>
      <c r="R179">
        <f>IF(G179=1,R178+1,0)</f>
        <v/>
      </c>
      <c r="S179">
        <f>IF(H179=1,S178+1,0)</f>
        <v/>
      </c>
      <c r="T179">
        <f>IF(I179=1,T178+1,0)</f>
        <v/>
      </c>
      <c r="U179">
        <f>IF(J179=1,U178+1,0)</f>
        <v/>
      </c>
      <c r="V179">
        <f>IF(K179=1,V178+1,0)</f>
        <v/>
      </c>
      <c r="W179">
        <f>IF(L179=1,W178+1,0)</f>
        <v/>
      </c>
      <c r="X179">
        <f>IF(M179=1,X178+1,0)</f>
        <v/>
      </c>
    </row>
    <row r="180">
      <c r="A180" s="58">
        <f>'Start Here'!$E$6+177</f>
        <v/>
      </c>
      <c r="B180" t="n">
        <v>26</v>
      </c>
      <c r="C180" t="inlineStr">
        <is>
          <t>WED</t>
        </is>
      </c>
      <c r="D180">
        <f>IF(AND(W26!E9&lt;&gt;"",W26!E9&lt;&gt;"✗"),1,0)</f>
        <v/>
      </c>
      <c r="E180">
        <f>IF(AND(W26!E10&lt;&gt;"",W26!E10&lt;&gt;"✗"),1,0)</f>
        <v/>
      </c>
      <c r="F180">
        <f>IF(AND(W26!E11&lt;&gt;"",W26!E11&lt;&gt;"✗"),1,0)</f>
        <v/>
      </c>
      <c r="G180">
        <f>IF(AND(W26!E12&lt;&gt;"",W26!E12&lt;&gt;"✗"),1,0)</f>
        <v/>
      </c>
      <c r="H180">
        <f>IF(AND(W26!E13&lt;&gt;"",W26!E13&lt;&gt;"✗"),1,0)</f>
        <v/>
      </c>
      <c r="I180">
        <f>IF(AND(W26!E14&lt;&gt;"",W26!E14&lt;&gt;"✗"),1,0)</f>
        <v/>
      </c>
      <c r="J180">
        <f>IF(AND(W26!E15&lt;&gt;"",W26!E15&lt;&gt;"✗"),1,0)</f>
        <v/>
      </c>
      <c r="K180">
        <f>IF(AND(W26!E16&lt;&gt;"",W26!E16&lt;&gt;"✗"),1,0)</f>
        <v/>
      </c>
      <c r="L180">
        <f>IF(AND(W26!E17&lt;&gt;"",W26!E17&lt;&gt;"✗"),1,0)</f>
        <v/>
      </c>
      <c r="M180">
        <f>IF(AND(W26!E18&lt;&gt;"",W26!E18&lt;&gt;"✗"),1,0)</f>
        <v/>
      </c>
      <c r="O180">
        <f>IF(D180=1,O179+1,0)</f>
        <v/>
      </c>
      <c r="P180">
        <f>IF(E180=1,P179+1,0)</f>
        <v/>
      </c>
      <c r="Q180">
        <f>IF(F180=1,Q179+1,0)</f>
        <v/>
      </c>
      <c r="R180">
        <f>IF(G180=1,R179+1,0)</f>
        <v/>
      </c>
      <c r="S180">
        <f>IF(H180=1,S179+1,0)</f>
        <v/>
      </c>
      <c r="T180">
        <f>IF(I180=1,T179+1,0)</f>
        <v/>
      </c>
      <c r="U180">
        <f>IF(J180=1,U179+1,0)</f>
        <v/>
      </c>
      <c r="V180">
        <f>IF(K180=1,V179+1,0)</f>
        <v/>
      </c>
      <c r="W180">
        <f>IF(L180=1,W179+1,0)</f>
        <v/>
      </c>
      <c r="X180">
        <f>IF(M180=1,X179+1,0)</f>
        <v/>
      </c>
    </row>
    <row r="181">
      <c r="A181" s="58">
        <f>'Start Here'!$E$6+178</f>
        <v/>
      </c>
      <c r="B181" t="n">
        <v>26</v>
      </c>
      <c r="C181" t="inlineStr">
        <is>
          <t>THU</t>
        </is>
      </c>
      <c r="D181">
        <f>IF(AND(W26!F9&lt;&gt;"",W26!F9&lt;&gt;"✗"),1,0)</f>
        <v/>
      </c>
      <c r="E181">
        <f>IF(AND(W26!F10&lt;&gt;"",W26!F10&lt;&gt;"✗"),1,0)</f>
        <v/>
      </c>
      <c r="F181">
        <f>IF(AND(W26!F11&lt;&gt;"",W26!F11&lt;&gt;"✗"),1,0)</f>
        <v/>
      </c>
      <c r="G181">
        <f>IF(AND(W26!F12&lt;&gt;"",W26!F12&lt;&gt;"✗"),1,0)</f>
        <v/>
      </c>
      <c r="H181">
        <f>IF(AND(W26!F13&lt;&gt;"",W26!F13&lt;&gt;"✗"),1,0)</f>
        <v/>
      </c>
      <c r="I181">
        <f>IF(AND(W26!F14&lt;&gt;"",W26!F14&lt;&gt;"✗"),1,0)</f>
        <v/>
      </c>
      <c r="J181">
        <f>IF(AND(W26!F15&lt;&gt;"",W26!F15&lt;&gt;"✗"),1,0)</f>
        <v/>
      </c>
      <c r="K181">
        <f>IF(AND(W26!F16&lt;&gt;"",W26!F16&lt;&gt;"✗"),1,0)</f>
        <v/>
      </c>
      <c r="L181">
        <f>IF(AND(W26!F17&lt;&gt;"",W26!F17&lt;&gt;"✗"),1,0)</f>
        <v/>
      </c>
      <c r="M181">
        <f>IF(AND(W26!F18&lt;&gt;"",W26!F18&lt;&gt;"✗"),1,0)</f>
        <v/>
      </c>
      <c r="O181">
        <f>IF(D181=1,O180+1,0)</f>
        <v/>
      </c>
      <c r="P181">
        <f>IF(E181=1,P180+1,0)</f>
        <v/>
      </c>
      <c r="Q181">
        <f>IF(F181=1,Q180+1,0)</f>
        <v/>
      </c>
      <c r="R181">
        <f>IF(G181=1,R180+1,0)</f>
        <v/>
      </c>
      <c r="S181">
        <f>IF(H181=1,S180+1,0)</f>
        <v/>
      </c>
      <c r="T181">
        <f>IF(I181=1,T180+1,0)</f>
        <v/>
      </c>
      <c r="U181">
        <f>IF(J181=1,U180+1,0)</f>
        <v/>
      </c>
      <c r="V181">
        <f>IF(K181=1,V180+1,0)</f>
        <v/>
      </c>
      <c r="W181">
        <f>IF(L181=1,W180+1,0)</f>
        <v/>
      </c>
      <c r="X181">
        <f>IF(M181=1,X180+1,0)</f>
        <v/>
      </c>
    </row>
    <row r="182">
      <c r="A182" s="58">
        <f>'Start Here'!$E$6+179</f>
        <v/>
      </c>
      <c r="B182" t="n">
        <v>26</v>
      </c>
      <c r="C182" t="inlineStr">
        <is>
          <t>FRI</t>
        </is>
      </c>
      <c r="D182">
        <f>IF(AND(W26!G9&lt;&gt;"",W26!G9&lt;&gt;"✗"),1,0)</f>
        <v/>
      </c>
      <c r="E182">
        <f>IF(AND(W26!G10&lt;&gt;"",W26!G10&lt;&gt;"✗"),1,0)</f>
        <v/>
      </c>
      <c r="F182">
        <f>IF(AND(W26!G11&lt;&gt;"",W26!G11&lt;&gt;"✗"),1,0)</f>
        <v/>
      </c>
      <c r="G182">
        <f>IF(AND(W26!G12&lt;&gt;"",W26!G12&lt;&gt;"✗"),1,0)</f>
        <v/>
      </c>
      <c r="H182">
        <f>IF(AND(W26!G13&lt;&gt;"",W26!G13&lt;&gt;"✗"),1,0)</f>
        <v/>
      </c>
      <c r="I182">
        <f>IF(AND(W26!G14&lt;&gt;"",W26!G14&lt;&gt;"✗"),1,0)</f>
        <v/>
      </c>
      <c r="J182">
        <f>IF(AND(W26!G15&lt;&gt;"",W26!G15&lt;&gt;"✗"),1,0)</f>
        <v/>
      </c>
      <c r="K182">
        <f>IF(AND(W26!G16&lt;&gt;"",W26!G16&lt;&gt;"✗"),1,0)</f>
        <v/>
      </c>
      <c r="L182">
        <f>IF(AND(W26!G17&lt;&gt;"",W26!G17&lt;&gt;"✗"),1,0)</f>
        <v/>
      </c>
      <c r="M182">
        <f>IF(AND(W26!G18&lt;&gt;"",W26!G18&lt;&gt;"✗"),1,0)</f>
        <v/>
      </c>
      <c r="O182">
        <f>IF(D182=1,O181+1,0)</f>
        <v/>
      </c>
      <c r="P182">
        <f>IF(E182=1,P181+1,0)</f>
        <v/>
      </c>
      <c r="Q182">
        <f>IF(F182=1,Q181+1,0)</f>
        <v/>
      </c>
      <c r="R182">
        <f>IF(G182=1,R181+1,0)</f>
        <v/>
      </c>
      <c r="S182">
        <f>IF(H182=1,S181+1,0)</f>
        <v/>
      </c>
      <c r="T182">
        <f>IF(I182=1,T181+1,0)</f>
        <v/>
      </c>
      <c r="U182">
        <f>IF(J182=1,U181+1,0)</f>
        <v/>
      </c>
      <c r="V182">
        <f>IF(K182=1,V181+1,0)</f>
        <v/>
      </c>
      <c r="W182">
        <f>IF(L182=1,W181+1,0)</f>
        <v/>
      </c>
      <c r="X182">
        <f>IF(M182=1,X181+1,0)</f>
        <v/>
      </c>
    </row>
    <row r="183">
      <c r="A183" s="58">
        <f>'Start Here'!$E$6+180</f>
        <v/>
      </c>
      <c r="B183" t="n">
        <v>26</v>
      </c>
      <c r="C183" t="inlineStr">
        <is>
          <t>SAT</t>
        </is>
      </c>
      <c r="D183">
        <f>IF(AND(W26!H9&lt;&gt;"",W26!H9&lt;&gt;"✗"),1,0)</f>
        <v/>
      </c>
      <c r="E183">
        <f>IF(AND(W26!H10&lt;&gt;"",W26!H10&lt;&gt;"✗"),1,0)</f>
        <v/>
      </c>
      <c r="F183">
        <f>IF(AND(W26!H11&lt;&gt;"",W26!H11&lt;&gt;"✗"),1,0)</f>
        <v/>
      </c>
      <c r="G183">
        <f>IF(AND(W26!H12&lt;&gt;"",W26!H12&lt;&gt;"✗"),1,0)</f>
        <v/>
      </c>
      <c r="H183">
        <f>IF(AND(W26!H13&lt;&gt;"",W26!H13&lt;&gt;"✗"),1,0)</f>
        <v/>
      </c>
      <c r="I183">
        <f>IF(AND(W26!H14&lt;&gt;"",W26!H14&lt;&gt;"✗"),1,0)</f>
        <v/>
      </c>
      <c r="J183">
        <f>IF(AND(W26!H15&lt;&gt;"",W26!H15&lt;&gt;"✗"),1,0)</f>
        <v/>
      </c>
      <c r="K183">
        <f>IF(AND(W26!H16&lt;&gt;"",W26!H16&lt;&gt;"✗"),1,0)</f>
        <v/>
      </c>
      <c r="L183">
        <f>IF(AND(W26!H17&lt;&gt;"",W26!H17&lt;&gt;"✗"),1,0)</f>
        <v/>
      </c>
      <c r="M183">
        <f>IF(AND(W26!H18&lt;&gt;"",W26!H18&lt;&gt;"✗"),1,0)</f>
        <v/>
      </c>
      <c r="O183">
        <f>IF(D183=1,O182+1,0)</f>
        <v/>
      </c>
      <c r="P183">
        <f>IF(E183=1,P182+1,0)</f>
        <v/>
      </c>
      <c r="Q183">
        <f>IF(F183=1,Q182+1,0)</f>
        <v/>
      </c>
      <c r="R183">
        <f>IF(G183=1,R182+1,0)</f>
        <v/>
      </c>
      <c r="S183">
        <f>IF(H183=1,S182+1,0)</f>
        <v/>
      </c>
      <c r="T183">
        <f>IF(I183=1,T182+1,0)</f>
        <v/>
      </c>
      <c r="U183">
        <f>IF(J183=1,U182+1,0)</f>
        <v/>
      </c>
      <c r="V183">
        <f>IF(K183=1,V182+1,0)</f>
        <v/>
      </c>
      <c r="W183">
        <f>IF(L183=1,W182+1,0)</f>
        <v/>
      </c>
      <c r="X183">
        <f>IF(M183=1,X182+1,0)</f>
        <v/>
      </c>
    </row>
    <row r="184">
      <c r="A184" s="58">
        <f>'Start Here'!$E$6+181</f>
        <v/>
      </c>
      <c r="B184" t="n">
        <v>26</v>
      </c>
      <c r="C184" t="inlineStr">
        <is>
          <t>SUN</t>
        </is>
      </c>
      <c r="D184">
        <f>IF(AND(W26!I9&lt;&gt;"",W26!I9&lt;&gt;"✗"),1,0)</f>
        <v/>
      </c>
      <c r="E184">
        <f>IF(AND(W26!I10&lt;&gt;"",W26!I10&lt;&gt;"✗"),1,0)</f>
        <v/>
      </c>
      <c r="F184">
        <f>IF(AND(W26!I11&lt;&gt;"",W26!I11&lt;&gt;"✗"),1,0)</f>
        <v/>
      </c>
      <c r="G184">
        <f>IF(AND(W26!I12&lt;&gt;"",W26!I12&lt;&gt;"✗"),1,0)</f>
        <v/>
      </c>
      <c r="H184">
        <f>IF(AND(W26!I13&lt;&gt;"",W26!I13&lt;&gt;"✗"),1,0)</f>
        <v/>
      </c>
      <c r="I184">
        <f>IF(AND(W26!I14&lt;&gt;"",W26!I14&lt;&gt;"✗"),1,0)</f>
        <v/>
      </c>
      <c r="J184">
        <f>IF(AND(W26!I15&lt;&gt;"",W26!I15&lt;&gt;"✗"),1,0)</f>
        <v/>
      </c>
      <c r="K184">
        <f>IF(AND(W26!I16&lt;&gt;"",W26!I16&lt;&gt;"✗"),1,0)</f>
        <v/>
      </c>
      <c r="L184">
        <f>IF(AND(W26!I17&lt;&gt;"",W26!I17&lt;&gt;"✗"),1,0)</f>
        <v/>
      </c>
      <c r="M184">
        <f>IF(AND(W26!I18&lt;&gt;"",W26!I18&lt;&gt;"✗"),1,0)</f>
        <v/>
      </c>
      <c r="O184">
        <f>IF(D184=1,O183+1,0)</f>
        <v/>
      </c>
      <c r="P184">
        <f>IF(E184=1,P183+1,0)</f>
        <v/>
      </c>
      <c r="Q184">
        <f>IF(F184=1,Q183+1,0)</f>
        <v/>
      </c>
      <c r="R184">
        <f>IF(G184=1,R183+1,0)</f>
        <v/>
      </c>
      <c r="S184">
        <f>IF(H184=1,S183+1,0)</f>
        <v/>
      </c>
      <c r="T184">
        <f>IF(I184=1,T183+1,0)</f>
        <v/>
      </c>
      <c r="U184">
        <f>IF(J184=1,U183+1,0)</f>
        <v/>
      </c>
      <c r="V184">
        <f>IF(K184=1,V183+1,0)</f>
        <v/>
      </c>
      <c r="W184">
        <f>IF(L184=1,W183+1,0)</f>
        <v/>
      </c>
      <c r="X184">
        <f>IF(M184=1,X183+1,0)</f>
        <v/>
      </c>
    </row>
    <row r="185">
      <c r="A185" s="58">
        <f>'Start Here'!$E$6+182</f>
        <v/>
      </c>
      <c r="B185" t="n">
        <v>27</v>
      </c>
      <c r="C185" t="inlineStr">
        <is>
          <t>MON</t>
        </is>
      </c>
      <c r="D185">
        <f>IF(AND(W27!C9&lt;&gt;"",W27!C9&lt;&gt;"✗"),1,0)</f>
        <v/>
      </c>
      <c r="E185">
        <f>IF(AND(W27!C10&lt;&gt;"",W27!C10&lt;&gt;"✗"),1,0)</f>
        <v/>
      </c>
      <c r="F185">
        <f>IF(AND(W27!C11&lt;&gt;"",W27!C11&lt;&gt;"✗"),1,0)</f>
        <v/>
      </c>
      <c r="G185">
        <f>IF(AND(W27!C12&lt;&gt;"",W27!C12&lt;&gt;"✗"),1,0)</f>
        <v/>
      </c>
      <c r="H185">
        <f>IF(AND(W27!C13&lt;&gt;"",W27!C13&lt;&gt;"✗"),1,0)</f>
        <v/>
      </c>
      <c r="I185">
        <f>IF(AND(W27!C14&lt;&gt;"",W27!C14&lt;&gt;"✗"),1,0)</f>
        <v/>
      </c>
      <c r="J185">
        <f>IF(AND(W27!C15&lt;&gt;"",W27!C15&lt;&gt;"✗"),1,0)</f>
        <v/>
      </c>
      <c r="K185">
        <f>IF(AND(W27!C16&lt;&gt;"",W27!C16&lt;&gt;"✗"),1,0)</f>
        <v/>
      </c>
      <c r="L185">
        <f>IF(AND(W27!C17&lt;&gt;"",W27!C17&lt;&gt;"✗"),1,0)</f>
        <v/>
      </c>
      <c r="M185">
        <f>IF(AND(W27!C18&lt;&gt;"",W27!C18&lt;&gt;"✗"),1,0)</f>
        <v/>
      </c>
      <c r="O185">
        <f>IF(D185=1,O184+1,0)</f>
        <v/>
      </c>
      <c r="P185">
        <f>IF(E185=1,P184+1,0)</f>
        <v/>
      </c>
      <c r="Q185">
        <f>IF(F185=1,Q184+1,0)</f>
        <v/>
      </c>
      <c r="R185">
        <f>IF(G185=1,R184+1,0)</f>
        <v/>
      </c>
      <c r="S185">
        <f>IF(H185=1,S184+1,0)</f>
        <v/>
      </c>
      <c r="T185">
        <f>IF(I185=1,T184+1,0)</f>
        <v/>
      </c>
      <c r="U185">
        <f>IF(J185=1,U184+1,0)</f>
        <v/>
      </c>
      <c r="V185">
        <f>IF(K185=1,V184+1,0)</f>
        <v/>
      </c>
      <c r="W185">
        <f>IF(L185=1,W184+1,0)</f>
        <v/>
      </c>
      <c r="X185">
        <f>IF(M185=1,X184+1,0)</f>
        <v/>
      </c>
    </row>
    <row r="186">
      <c r="A186" s="58">
        <f>'Start Here'!$E$6+183</f>
        <v/>
      </c>
      <c r="B186" t="n">
        <v>27</v>
      </c>
      <c r="C186" t="inlineStr">
        <is>
          <t>TUE</t>
        </is>
      </c>
      <c r="D186">
        <f>IF(AND(W27!D9&lt;&gt;"",W27!D9&lt;&gt;"✗"),1,0)</f>
        <v/>
      </c>
      <c r="E186">
        <f>IF(AND(W27!D10&lt;&gt;"",W27!D10&lt;&gt;"✗"),1,0)</f>
        <v/>
      </c>
      <c r="F186">
        <f>IF(AND(W27!D11&lt;&gt;"",W27!D11&lt;&gt;"✗"),1,0)</f>
        <v/>
      </c>
      <c r="G186">
        <f>IF(AND(W27!D12&lt;&gt;"",W27!D12&lt;&gt;"✗"),1,0)</f>
        <v/>
      </c>
      <c r="H186">
        <f>IF(AND(W27!D13&lt;&gt;"",W27!D13&lt;&gt;"✗"),1,0)</f>
        <v/>
      </c>
      <c r="I186">
        <f>IF(AND(W27!D14&lt;&gt;"",W27!D14&lt;&gt;"✗"),1,0)</f>
        <v/>
      </c>
      <c r="J186">
        <f>IF(AND(W27!D15&lt;&gt;"",W27!D15&lt;&gt;"✗"),1,0)</f>
        <v/>
      </c>
      <c r="K186">
        <f>IF(AND(W27!D16&lt;&gt;"",W27!D16&lt;&gt;"✗"),1,0)</f>
        <v/>
      </c>
      <c r="L186">
        <f>IF(AND(W27!D17&lt;&gt;"",W27!D17&lt;&gt;"✗"),1,0)</f>
        <v/>
      </c>
      <c r="M186">
        <f>IF(AND(W27!D18&lt;&gt;"",W27!D18&lt;&gt;"✗"),1,0)</f>
        <v/>
      </c>
      <c r="O186">
        <f>IF(D186=1,O185+1,0)</f>
        <v/>
      </c>
      <c r="P186">
        <f>IF(E186=1,P185+1,0)</f>
        <v/>
      </c>
      <c r="Q186">
        <f>IF(F186=1,Q185+1,0)</f>
        <v/>
      </c>
      <c r="R186">
        <f>IF(G186=1,R185+1,0)</f>
        <v/>
      </c>
      <c r="S186">
        <f>IF(H186=1,S185+1,0)</f>
        <v/>
      </c>
      <c r="T186">
        <f>IF(I186=1,T185+1,0)</f>
        <v/>
      </c>
      <c r="U186">
        <f>IF(J186=1,U185+1,0)</f>
        <v/>
      </c>
      <c r="V186">
        <f>IF(K186=1,V185+1,0)</f>
        <v/>
      </c>
      <c r="W186">
        <f>IF(L186=1,W185+1,0)</f>
        <v/>
      </c>
      <c r="X186">
        <f>IF(M186=1,X185+1,0)</f>
        <v/>
      </c>
    </row>
    <row r="187">
      <c r="A187" s="58">
        <f>'Start Here'!$E$6+184</f>
        <v/>
      </c>
      <c r="B187" t="n">
        <v>27</v>
      </c>
      <c r="C187" t="inlineStr">
        <is>
          <t>WED</t>
        </is>
      </c>
      <c r="D187">
        <f>IF(AND(W27!E9&lt;&gt;"",W27!E9&lt;&gt;"✗"),1,0)</f>
        <v/>
      </c>
      <c r="E187">
        <f>IF(AND(W27!E10&lt;&gt;"",W27!E10&lt;&gt;"✗"),1,0)</f>
        <v/>
      </c>
      <c r="F187">
        <f>IF(AND(W27!E11&lt;&gt;"",W27!E11&lt;&gt;"✗"),1,0)</f>
        <v/>
      </c>
      <c r="G187">
        <f>IF(AND(W27!E12&lt;&gt;"",W27!E12&lt;&gt;"✗"),1,0)</f>
        <v/>
      </c>
      <c r="H187">
        <f>IF(AND(W27!E13&lt;&gt;"",W27!E13&lt;&gt;"✗"),1,0)</f>
        <v/>
      </c>
      <c r="I187">
        <f>IF(AND(W27!E14&lt;&gt;"",W27!E14&lt;&gt;"✗"),1,0)</f>
        <v/>
      </c>
      <c r="J187">
        <f>IF(AND(W27!E15&lt;&gt;"",W27!E15&lt;&gt;"✗"),1,0)</f>
        <v/>
      </c>
      <c r="K187">
        <f>IF(AND(W27!E16&lt;&gt;"",W27!E16&lt;&gt;"✗"),1,0)</f>
        <v/>
      </c>
      <c r="L187">
        <f>IF(AND(W27!E17&lt;&gt;"",W27!E17&lt;&gt;"✗"),1,0)</f>
        <v/>
      </c>
      <c r="M187">
        <f>IF(AND(W27!E18&lt;&gt;"",W27!E18&lt;&gt;"✗"),1,0)</f>
        <v/>
      </c>
      <c r="O187">
        <f>IF(D187=1,O186+1,0)</f>
        <v/>
      </c>
      <c r="P187">
        <f>IF(E187=1,P186+1,0)</f>
        <v/>
      </c>
      <c r="Q187">
        <f>IF(F187=1,Q186+1,0)</f>
        <v/>
      </c>
      <c r="R187">
        <f>IF(G187=1,R186+1,0)</f>
        <v/>
      </c>
      <c r="S187">
        <f>IF(H187=1,S186+1,0)</f>
        <v/>
      </c>
      <c r="T187">
        <f>IF(I187=1,T186+1,0)</f>
        <v/>
      </c>
      <c r="U187">
        <f>IF(J187=1,U186+1,0)</f>
        <v/>
      </c>
      <c r="V187">
        <f>IF(K187=1,V186+1,0)</f>
        <v/>
      </c>
      <c r="W187">
        <f>IF(L187=1,W186+1,0)</f>
        <v/>
      </c>
      <c r="X187">
        <f>IF(M187=1,X186+1,0)</f>
        <v/>
      </c>
    </row>
    <row r="188">
      <c r="A188" s="58">
        <f>'Start Here'!$E$6+185</f>
        <v/>
      </c>
      <c r="B188" t="n">
        <v>27</v>
      </c>
      <c r="C188" t="inlineStr">
        <is>
          <t>THU</t>
        </is>
      </c>
      <c r="D188">
        <f>IF(AND(W27!F9&lt;&gt;"",W27!F9&lt;&gt;"✗"),1,0)</f>
        <v/>
      </c>
      <c r="E188">
        <f>IF(AND(W27!F10&lt;&gt;"",W27!F10&lt;&gt;"✗"),1,0)</f>
        <v/>
      </c>
      <c r="F188">
        <f>IF(AND(W27!F11&lt;&gt;"",W27!F11&lt;&gt;"✗"),1,0)</f>
        <v/>
      </c>
      <c r="G188">
        <f>IF(AND(W27!F12&lt;&gt;"",W27!F12&lt;&gt;"✗"),1,0)</f>
        <v/>
      </c>
      <c r="H188">
        <f>IF(AND(W27!F13&lt;&gt;"",W27!F13&lt;&gt;"✗"),1,0)</f>
        <v/>
      </c>
      <c r="I188">
        <f>IF(AND(W27!F14&lt;&gt;"",W27!F14&lt;&gt;"✗"),1,0)</f>
        <v/>
      </c>
      <c r="J188">
        <f>IF(AND(W27!F15&lt;&gt;"",W27!F15&lt;&gt;"✗"),1,0)</f>
        <v/>
      </c>
      <c r="K188">
        <f>IF(AND(W27!F16&lt;&gt;"",W27!F16&lt;&gt;"✗"),1,0)</f>
        <v/>
      </c>
      <c r="L188">
        <f>IF(AND(W27!F17&lt;&gt;"",W27!F17&lt;&gt;"✗"),1,0)</f>
        <v/>
      </c>
      <c r="M188">
        <f>IF(AND(W27!F18&lt;&gt;"",W27!F18&lt;&gt;"✗"),1,0)</f>
        <v/>
      </c>
      <c r="O188">
        <f>IF(D188=1,O187+1,0)</f>
        <v/>
      </c>
      <c r="P188">
        <f>IF(E188=1,P187+1,0)</f>
        <v/>
      </c>
      <c r="Q188">
        <f>IF(F188=1,Q187+1,0)</f>
        <v/>
      </c>
      <c r="R188">
        <f>IF(G188=1,R187+1,0)</f>
        <v/>
      </c>
      <c r="S188">
        <f>IF(H188=1,S187+1,0)</f>
        <v/>
      </c>
      <c r="T188">
        <f>IF(I188=1,T187+1,0)</f>
        <v/>
      </c>
      <c r="U188">
        <f>IF(J188=1,U187+1,0)</f>
        <v/>
      </c>
      <c r="V188">
        <f>IF(K188=1,V187+1,0)</f>
        <v/>
      </c>
      <c r="W188">
        <f>IF(L188=1,W187+1,0)</f>
        <v/>
      </c>
      <c r="X188">
        <f>IF(M188=1,X187+1,0)</f>
        <v/>
      </c>
    </row>
    <row r="189">
      <c r="A189" s="58">
        <f>'Start Here'!$E$6+186</f>
        <v/>
      </c>
      <c r="B189" t="n">
        <v>27</v>
      </c>
      <c r="C189" t="inlineStr">
        <is>
          <t>FRI</t>
        </is>
      </c>
      <c r="D189">
        <f>IF(AND(W27!G9&lt;&gt;"",W27!G9&lt;&gt;"✗"),1,0)</f>
        <v/>
      </c>
      <c r="E189">
        <f>IF(AND(W27!G10&lt;&gt;"",W27!G10&lt;&gt;"✗"),1,0)</f>
        <v/>
      </c>
      <c r="F189">
        <f>IF(AND(W27!G11&lt;&gt;"",W27!G11&lt;&gt;"✗"),1,0)</f>
        <v/>
      </c>
      <c r="G189">
        <f>IF(AND(W27!G12&lt;&gt;"",W27!G12&lt;&gt;"✗"),1,0)</f>
        <v/>
      </c>
      <c r="H189">
        <f>IF(AND(W27!G13&lt;&gt;"",W27!G13&lt;&gt;"✗"),1,0)</f>
        <v/>
      </c>
      <c r="I189">
        <f>IF(AND(W27!G14&lt;&gt;"",W27!G14&lt;&gt;"✗"),1,0)</f>
        <v/>
      </c>
      <c r="J189">
        <f>IF(AND(W27!G15&lt;&gt;"",W27!G15&lt;&gt;"✗"),1,0)</f>
        <v/>
      </c>
      <c r="K189">
        <f>IF(AND(W27!G16&lt;&gt;"",W27!G16&lt;&gt;"✗"),1,0)</f>
        <v/>
      </c>
      <c r="L189">
        <f>IF(AND(W27!G17&lt;&gt;"",W27!G17&lt;&gt;"✗"),1,0)</f>
        <v/>
      </c>
      <c r="M189">
        <f>IF(AND(W27!G18&lt;&gt;"",W27!G18&lt;&gt;"✗"),1,0)</f>
        <v/>
      </c>
      <c r="O189">
        <f>IF(D189=1,O188+1,0)</f>
        <v/>
      </c>
      <c r="P189">
        <f>IF(E189=1,P188+1,0)</f>
        <v/>
      </c>
      <c r="Q189">
        <f>IF(F189=1,Q188+1,0)</f>
        <v/>
      </c>
      <c r="R189">
        <f>IF(G189=1,R188+1,0)</f>
        <v/>
      </c>
      <c r="S189">
        <f>IF(H189=1,S188+1,0)</f>
        <v/>
      </c>
      <c r="T189">
        <f>IF(I189=1,T188+1,0)</f>
        <v/>
      </c>
      <c r="U189">
        <f>IF(J189=1,U188+1,0)</f>
        <v/>
      </c>
      <c r="V189">
        <f>IF(K189=1,V188+1,0)</f>
        <v/>
      </c>
      <c r="W189">
        <f>IF(L189=1,W188+1,0)</f>
        <v/>
      </c>
      <c r="X189">
        <f>IF(M189=1,X188+1,0)</f>
        <v/>
      </c>
    </row>
    <row r="190">
      <c r="A190" s="58">
        <f>'Start Here'!$E$6+187</f>
        <v/>
      </c>
      <c r="B190" t="n">
        <v>27</v>
      </c>
      <c r="C190" t="inlineStr">
        <is>
          <t>SAT</t>
        </is>
      </c>
      <c r="D190">
        <f>IF(AND(W27!H9&lt;&gt;"",W27!H9&lt;&gt;"✗"),1,0)</f>
        <v/>
      </c>
      <c r="E190">
        <f>IF(AND(W27!H10&lt;&gt;"",W27!H10&lt;&gt;"✗"),1,0)</f>
        <v/>
      </c>
      <c r="F190">
        <f>IF(AND(W27!H11&lt;&gt;"",W27!H11&lt;&gt;"✗"),1,0)</f>
        <v/>
      </c>
      <c r="G190">
        <f>IF(AND(W27!H12&lt;&gt;"",W27!H12&lt;&gt;"✗"),1,0)</f>
        <v/>
      </c>
      <c r="H190">
        <f>IF(AND(W27!H13&lt;&gt;"",W27!H13&lt;&gt;"✗"),1,0)</f>
        <v/>
      </c>
      <c r="I190">
        <f>IF(AND(W27!H14&lt;&gt;"",W27!H14&lt;&gt;"✗"),1,0)</f>
        <v/>
      </c>
      <c r="J190">
        <f>IF(AND(W27!H15&lt;&gt;"",W27!H15&lt;&gt;"✗"),1,0)</f>
        <v/>
      </c>
      <c r="K190">
        <f>IF(AND(W27!H16&lt;&gt;"",W27!H16&lt;&gt;"✗"),1,0)</f>
        <v/>
      </c>
      <c r="L190">
        <f>IF(AND(W27!H17&lt;&gt;"",W27!H17&lt;&gt;"✗"),1,0)</f>
        <v/>
      </c>
      <c r="M190">
        <f>IF(AND(W27!H18&lt;&gt;"",W27!H18&lt;&gt;"✗"),1,0)</f>
        <v/>
      </c>
      <c r="O190">
        <f>IF(D190=1,O189+1,0)</f>
        <v/>
      </c>
      <c r="P190">
        <f>IF(E190=1,P189+1,0)</f>
        <v/>
      </c>
      <c r="Q190">
        <f>IF(F190=1,Q189+1,0)</f>
        <v/>
      </c>
      <c r="R190">
        <f>IF(G190=1,R189+1,0)</f>
        <v/>
      </c>
      <c r="S190">
        <f>IF(H190=1,S189+1,0)</f>
        <v/>
      </c>
      <c r="T190">
        <f>IF(I190=1,T189+1,0)</f>
        <v/>
      </c>
      <c r="U190">
        <f>IF(J190=1,U189+1,0)</f>
        <v/>
      </c>
      <c r="V190">
        <f>IF(K190=1,V189+1,0)</f>
        <v/>
      </c>
      <c r="W190">
        <f>IF(L190=1,W189+1,0)</f>
        <v/>
      </c>
      <c r="X190">
        <f>IF(M190=1,X189+1,0)</f>
        <v/>
      </c>
    </row>
    <row r="191">
      <c r="A191" s="58">
        <f>'Start Here'!$E$6+188</f>
        <v/>
      </c>
      <c r="B191" t="n">
        <v>27</v>
      </c>
      <c r="C191" t="inlineStr">
        <is>
          <t>SUN</t>
        </is>
      </c>
      <c r="D191">
        <f>IF(AND(W27!I9&lt;&gt;"",W27!I9&lt;&gt;"✗"),1,0)</f>
        <v/>
      </c>
      <c r="E191">
        <f>IF(AND(W27!I10&lt;&gt;"",W27!I10&lt;&gt;"✗"),1,0)</f>
        <v/>
      </c>
      <c r="F191">
        <f>IF(AND(W27!I11&lt;&gt;"",W27!I11&lt;&gt;"✗"),1,0)</f>
        <v/>
      </c>
      <c r="G191">
        <f>IF(AND(W27!I12&lt;&gt;"",W27!I12&lt;&gt;"✗"),1,0)</f>
        <v/>
      </c>
      <c r="H191">
        <f>IF(AND(W27!I13&lt;&gt;"",W27!I13&lt;&gt;"✗"),1,0)</f>
        <v/>
      </c>
      <c r="I191">
        <f>IF(AND(W27!I14&lt;&gt;"",W27!I14&lt;&gt;"✗"),1,0)</f>
        <v/>
      </c>
      <c r="J191">
        <f>IF(AND(W27!I15&lt;&gt;"",W27!I15&lt;&gt;"✗"),1,0)</f>
        <v/>
      </c>
      <c r="K191">
        <f>IF(AND(W27!I16&lt;&gt;"",W27!I16&lt;&gt;"✗"),1,0)</f>
        <v/>
      </c>
      <c r="L191">
        <f>IF(AND(W27!I17&lt;&gt;"",W27!I17&lt;&gt;"✗"),1,0)</f>
        <v/>
      </c>
      <c r="M191">
        <f>IF(AND(W27!I18&lt;&gt;"",W27!I18&lt;&gt;"✗"),1,0)</f>
        <v/>
      </c>
      <c r="O191">
        <f>IF(D191=1,O190+1,0)</f>
        <v/>
      </c>
      <c r="P191">
        <f>IF(E191=1,P190+1,0)</f>
        <v/>
      </c>
      <c r="Q191">
        <f>IF(F191=1,Q190+1,0)</f>
        <v/>
      </c>
      <c r="R191">
        <f>IF(G191=1,R190+1,0)</f>
        <v/>
      </c>
      <c r="S191">
        <f>IF(H191=1,S190+1,0)</f>
        <v/>
      </c>
      <c r="T191">
        <f>IF(I191=1,T190+1,0)</f>
        <v/>
      </c>
      <c r="U191">
        <f>IF(J191=1,U190+1,0)</f>
        <v/>
      </c>
      <c r="V191">
        <f>IF(K191=1,V190+1,0)</f>
        <v/>
      </c>
      <c r="W191">
        <f>IF(L191=1,W190+1,0)</f>
        <v/>
      </c>
      <c r="X191">
        <f>IF(M191=1,X190+1,0)</f>
        <v/>
      </c>
    </row>
    <row r="192">
      <c r="A192" s="58">
        <f>'Start Here'!$E$6+189</f>
        <v/>
      </c>
      <c r="B192" t="n">
        <v>28</v>
      </c>
      <c r="C192" t="inlineStr">
        <is>
          <t>MON</t>
        </is>
      </c>
      <c r="D192">
        <f>IF(AND(W28!C9&lt;&gt;"",W28!C9&lt;&gt;"✗"),1,0)</f>
        <v/>
      </c>
      <c r="E192">
        <f>IF(AND(W28!C10&lt;&gt;"",W28!C10&lt;&gt;"✗"),1,0)</f>
        <v/>
      </c>
      <c r="F192">
        <f>IF(AND(W28!C11&lt;&gt;"",W28!C11&lt;&gt;"✗"),1,0)</f>
        <v/>
      </c>
      <c r="G192">
        <f>IF(AND(W28!C12&lt;&gt;"",W28!C12&lt;&gt;"✗"),1,0)</f>
        <v/>
      </c>
      <c r="H192">
        <f>IF(AND(W28!C13&lt;&gt;"",W28!C13&lt;&gt;"✗"),1,0)</f>
        <v/>
      </c>
      <c r="I192">
        <f>IF(AND(W28!C14&lt;&gt;"",W28!C14&lt;&gt;"✗"),1,0)</f>
        <v/>
      </c>
      <c r="J192">
        <f>IF(AND(W28!C15&lt;&gt;"",W28!C15&lt;&gt;"✗"),1,0)</f>
        <v/>
      </c>
      <c r="K192">
        <f>IF(AND(W28!C16&lt;&gt;"",W28!C16&lt;&gt;"✗"),1,0)</f>
        <v/>
      </c>
      <c r="L192">
        <f>IF(AND(W28!C17&lt;&gt;"",W28!C17&lt;&gt;"✗"),1,0)</f>
        <v/>
      </c>
      <c r="M192">
        <f>IF(AND(W28!C18&lt;&gt;"",W28!C18&lt;&gt;"✗"),1,0)</f>
        <v/>
      </c>
      <c r="O192">
        <f>IF(D192=1,O191+1,0)</f>
        <v/>
      </c>
      <c r="P192">
        <f>IF(E192=1,P191+1,0)</f>
        <v/>
      </c>
      <c r="Q192">
        <f>IF(F192=1,Q191+1,0)</f>
        <v/>
      </c>
      <c r="R192">
        <f>IF(G192=1,R191+1,0)</f>
        <v/>
      </c>
      <c r="S192">
        <f>IF(H192=1,S191+1,0)</f>
        <v/>
      </c>
      <c r="T192">
        <f>IF(I192=1,T191+1,0)</f>
        <v/>
      </c>
      <c r="U192">
        <f>IF(J192=1,U191+1,0)</f>
        <v/>
      </c>
      <c r="V192">
        <f>IF(K192=1,V191+1,0)</f>
        <v/>
      </c>
      <c r="W192">
        <f>IF(L192=1,W191+1,0)</f>
        <v/>
      </c>
      <c r="X192">
        <f>IF(M192=1,X191+1,0)</f>
        <v/>
      </c>
    </row>
    <row r="193">
      <c r="A193" s="58">
        <f>'Start Here'!$E$6+190</f>
        <v/>
      </c>
      <c r="B193" t="n">
        <v>28</v>
      </c>
      <c r="C193" t="inlineStr">
        <is>
          <t>TUE</t>
        </is>
      </c>
      <c r="D193">
        <f>IF(AND(W28!D9&lt;&gt;"",W28!D9&lt;&gt;"✗"),1,0)</f>
        <v/>
      </c>
      <c r="E193">
        <f>IF(AND(W28!D10&lt;&gt;"",W28!D10&lt;&gt;"✗"),1,0)</f>
        <v/>
      </c>
      <c r="F193">
        <f>IF(AND(W28!D11&lt;&gt;"",W28!D11&lt;&gt;"✗"),1,0)</f>
        <v/>
      </c>
      <c r="G193">
        <f>IF(AND(W28!D12&lt;&gt;"",W28!D12&lt;&gt;"✗"),1,0)</f>
        <v/>
      </c>
      <c r="H193">
        <f>IF(AND(W28!D13&lt;&gt;"",W28!D13&lt;&gt;"✗"),1,0)</f>
        <v/>
      </c>
      <c r="I193">
        <f>IF(AND(W28!D14&lt;&gt;"",W28!D14&lt;&gt;"✗"),1,0)</f>
        <v/>
      </c>
      <c r="J193">
        <f>IF(AND(W28!D15&lt;&gt;"",W28!D15&lt;&gt;"✗"),1,0)</f>
        <v/>
      </c>
      <c r="K193">
        <f>IF(AND(W28!D16&lt;&gt;"",W28!D16&lt;&gt;"✗"),1,0)</f>
        <v/>
      </c>
      <c r="L193">
        <f>IF(AND(W28!D17&lt;&gt;"",W28!D17&lt;&gt;"✗"),1,0)</f>
        <v/>
      </c>
      <c r="M193">
        <f>IF(AND(W28!D18&lt;&gt;"",W28!D18&lt;&gt;"✗"),1,0)</f>
        <v/>
      </c>
      <c r="O193">
        <f>IF(D193=1,O192+1,0)</f>
        <v/>
      </c>
      <c r="P193">
        <f>IF(E193=1,P192+1,0)</f>
        <v/>
      </c>
      <c r="Q193">
        <f>IF(F193=1,Q192+1,0)</f>
        <v/>
      </c>
      <c r="R193">
        <f>IF(G193=1,R192+1,0)</f>
        <v/>
      </c>
      <c r="S193">
        <f>IF(H193=1,S192+1,0)</f>
        <v/>
      </c>
      <c r="T193">
        <f>IF(I193=1,T192+1,0)</f>
        <v/>
      </c>
      <c r="U193">
        <f>IF(J193=1,U192+1,0)</f>
        <v/>
      </c>
      <c r="V193">
        <f>IF(K193=1,V192+1,0)</f>
        <v/>
      </c>
      <c r="W193">
        <f>IF(L193=1,W192+1,0)</f>
        <v/>
      </c>
      <c r="X193">
        <f>IF(M193=1,X192+1,0)</f>
        <v/>
      </c>
    </row>
    <row r="194">
      <c r="A194" s="58">
        <f>'Start Here'!$E$6+191</f>
        <v/>
      </c>
      <c r="B194" t="n">
        <v>28</v>
      </c>
      <c r="C194" t="inlineStr">
        <is>
          <t>WED</t>
        </is>
      </c>
      <c r="D194">
        <f>IF(AND(W28!E9&lt;&gt;"",W28!E9&lt;&gt;"✗"),1,0)</f>
        <v/>
      </c>
      <c r="E194">
        <f>IF(AND(W28!E10&lt;&gt;"",W28!E10&lt;&gt;"✗"),1,0)</f>
        <v/>
      </c>
      <c r="F194">
        <f>IF(AND(W28!E11&lt;&gt;"",W28!E11&lt;&gt;"✗"),1,0)</f>
        <v/>
      </c>
      <c r="G194">
        <f>IF(AND(W28!E12&lt;&gt;"",W28!E12&lt;&gt;"✗"),1,0)</f>
        <v/>
      </c>
      <c r="H194">
        <f>IF(AND(W28!E13&lt;&gt;"",W28!E13&lt;&gt;"✗"),1,0)</f>
        <v/>
      </c>
      <c r="I194">
        <f>IF(AND(W28!E14&lt;&gt;"",W28!E14&lt;&gt;"✗"),1,0)</f>
        <v/>
      </c>
      <c r="J194">
        <f>IF(AND(W28!E15&lt;&gt;"",W28!E15&lt;&gt;"✗"),1,0)</f>
        <v/>
      </c>
      <c r="K194">
        <f>IF(AND(W28!E16&lt;&gt;"",W28!E16&lt;&gt;"✗"),1,0)</f>
        <v/>
      </c>
      <c r="L194">
        <f>IF(AND(W28!E17&lt;&gt;"",W28!E17&lt;&gt;"✗"),1,0)</f>
        <v/>
      </c>
      <c r="M194">
        <f>IF(AND(W28!E18&lt;&gt;"",W28!E18&lt;&gt;"✗"),1,0)</f>
        <v/>
      </c>
      <c r="O194">
        <f>IF(D194=1,O193+1,0)</f>
        <v/>
      </c>
      <c r="P194">
        <f>IF(E194=1,P193+1,0)</f>
        <v/>
      </c>
      <c r="Q194">
        <f>IF(F194=1,Q193+1,0)</f>
        <v/>
      </c>
      <c r="R194">
        <f>IF(G194=1,R193+1,0)</f>
        <v/>
      </c>
      <c r="S194">
        <f>IF(H194=1,S193+1,0)</f>
        <v/>
      </c>
      <c r="T194">
        <f>IF(I194=1,T193+1,0)</f>
        <v/>
      </c>
      <c r="U194">
        <f>IF(J194=1,U193+1,0)</f>
        <v/>
      </c>
      <c r="V194">
        <f>IF(K194=1,V193+1,0)</f>
        <v/>
      </c>
      <c r="W194">
        <f>IF(L194=1,W193+1,0)</f>
        <v/>
      </c>
      <c r="X194">
        <f>IF(M194=1,X193+1,0)</f>
        <v/>
      </c>
    </row>
    <row r="195">
      <c r="A195" s="58">
        <f>'Start Here'!$E$6+192</f>
        <v/>
      </c>
      <c r="B195" t="n">
        <v>28</v>
      </c>
      <c r="C195" t="inlineStr">
        <is>
          <t>THU</t>
        </is>
      </c>
      <c r="D195">
        <f>IF(AND(W28!F9&lt;&gt;"",W28!F9&lt;&gt;"✗"),1,0)</f>
        <v/>
      </c>
      <c r="E195">
        <f>IF(AND(W28!F10&lt;&gt;"",W28!F10&lt;&gt;"✗"),1,0)</f>
        <v/>
      </c>
      <c r="F195">
        <f>IF(AND(W28!F11&lt;&gt;"",W28!F11&lt;&gt;"✗"),1,0)</f>
        <v/>
      </c>
      <c r="G195">
        <f>IF(AND(W28!F12&lt;&gt;"",W28!F12&lt;&gt;"✗"),1,0)</f>
        <v/>
      </c>
      <c r="H195">
        <f>IF(AND(W28!F13&lt;&gt;"",W28!F13&lt;&gt;"✗"),1,0)</f>
        <v/>
      </c>
      <c r="I195">
        <f>IF(AND(W28!F14&lt;&gt;"",W28!F14&lt;&gt;"✗"),1,0)</f>
        <v/>
      </c>
      <c r="J195">
        <f>IF(AND(W28!F15&lt;&gt;"",W28!F15&lt;&gt;"✗"),1,0)</f>
        <v/>
      </c>
      <c r="K195">
        <f>IF(AND(W28!F16&lt;&gt;"",W28!F16&lt;&gt;"✗"),1,0)</f>
        <v/>
      </c>
      <c r="L195">
        <f>IF(AND(W28!F17&lt;&gt;"",W28!F17&lt;&gt;"✗"),1,0)</f>
        <v/>
      </c>
      <c r="M195">
        <f>IF(AND(W28!F18&lt;&gt;"",W28!F18&lt;&gt;"✗"),1,0)</f>
        <v/>
      </c>
      <c r="O195">
        <f>IF(D195=1,O194+1,0)</f>
        <v/>
      </c>
      <c r="P195">
        <f>IF(E195=1,P194+1,0)</f>
        <v/>
      </c>
      <c r="Q195">
        <f>IF(F195=1,Q194+1,0)</f>
        <v/>
      </c>
      <c r="R195">
        <f>IF(G195=1,R194+1,0)</f>
        <v/>
      </c>
      <c r="S195">
        <f>IF(H195=1,S194+1,0)</f>
        <v/>
      </c>
      <c r="T195">
        <f>IF(I195=1,T194+1,0)</f>
        <v/>
      </c>
      <c r="U195">
        <f>IF(J195=1,U194+1,0)</f>
        <v/>
      </c>
      <c r="V195">
        <f>IF(K195=1,V194+1,0)</f>
        <v/>
      </c>
      <c r="W195">
        <f>IF(L195=1,W194+1,0)</f>
        <v/>
      </c>
      <c r="X195">
        <f>IF(M195=1,X194+1,0)</f>
        <v/>
      </c>
    </row>
    <row r="196">
      <c r="A196" s="58">
        <f>'Start Here'!$E$6+193</f>
        <v/>
      </c>
      <c r="B196" t="n">
        <v>28</v>
      </c>
      <c r="C196" t="inlineStr">
        <is>
          <t>FRI</t>
        </is>
      </c>
      <c r="D196">
        <f>IF(AND(W28!G9&lt;&gt;"",W28!G9&lt;&gt;"✗"),1,0)</f>
        <v/>
      </c>
      <c r="E196">
        <f>IF(AND(W28!G10&lt;&gt;"",W28!G10&lt;&gt;"✗"),1,0)</f>
        <v/>
      </c>
      <c r="F196">
        <f>IF(AND(W28!G11&lt;&gt;"",W28!G11&lt;&gt;"✗"),1,0)</f>
        <v/>
      </c>
      <c r="G196">
        <f>IF(AND(W28!G12&lt;&gt;"",W28!G12&lt;&gt;"✗"),1,0)</f>
        <v/>
      </c>
      <c r="H196">
        <f>IF(AND(W28!G13&lt;&gt;"",W28!G13&lt;&gt;"✗"),1,0)</f>
        <v/>
      </c>
      <c r="I196">
        <f>IF(AND(W28!G14&lt;&gt;"",W28!G14&lt;&gt;"✗"),1,0)</f>
        <v/>
      </c>
      <c r="J196">
        <f>IF(AND(W28!G15&lt;&gt;"",W28!G15&lt;&gt;"✗"),1,0)</f>
        <v/>
      </c>
      <c r="K196">
        <f>IF(AND(W28!G16&lt;&gt;"",W28!G16&lt;&gt;"✗"),1,0)</f>
        <v/>
      </c>
      <c r="L196">
        <f>IF(AND(W28!G17&lt;&gt;"",W28!G17&lt;&gt;"✗"),1,0)</f>
        <v/>
      </c>
      <c r="M196">
        <f>IF(AND(W28!G18&lt;&gt;"",W28!G18&lt;&gt;"✗"),1,0)</f>
        <v/>
      </c>
      <c r="O196">
        <f>IF(D196=1,O195+1,0)</f>
        <v/>
      </c>
      <c r="P196">
        <f>IF(E196=1,P195+1,0)</f>
        <v/>
      </c>
      <c r="Q196">
        <f>IF(F196=1,Q195+1,0)</f>
        <v/>
      </c>
      <c r="R196">
        <f>IF(G196=1,R195+1,0)</f>
        <v/>
      </c>
      <c r="S196">
        <f>IF(H196=1,S195+1,0)</f>
        <v/>
      </c>
      <c r="T196">
        <f>IF(I196=1,T195+1,0)</f>
        <v/>
      </c>
      <c r="U196">
        <f>IF(J196=1,U195+1,0)</f>
        <v/>
      </c>
      <c r="V196">
        <f>IF(K196=1,V195+1,0)</f>
        <v/>
      </c>
      <c r="W196">
        <f>IF(L196=1,W195+1,0)</f>
        <v/>
      </c>
      <c r="X196">
        <f>IF(M196=1,X195+1,0)</f>
        <v/>
      </c>
    </row>
    <row r="197">
      <c r="A197" s="58">
        <f>'Start Here'!$E$6+194</f>
        <v/>
      </c>
      <c r="B197" t="n">
        <v>28</v>
      </c>
      <c r="C197" t="inlineStr">
        <is>
          <t>SAT</t>
        </is>
      </c>
      <c r="D197">
        <f>IF(AND(W28!H9&lt;&gt;"",W28!H9&lt;&gt;"✗"),1,0)</f>
        <v/>
      </c>
      <c r="E197">
        <f>IF(AND(W28!H10&lt;&gt;"",W28!H10&lt;&gt;"✗"),1,0)</f>
        <v/>
      </c>
      <c r="F197">
        <f>IF(AND(W28!H11&lt;&gt;"",W28!H11&lt;&gt;"✗"),1,0)</f>
        <v/>
      </c>
      <c r="G197">
        <f>IF(AND(W28!H12&lt;&gt;"",W28!H12&lt;&gt;"✗"),1,0)</f>
        <v/>
      </c>
      <c r="H197">
        <f>IF(AND(W28!H13&lt;&gt;"",W28!H13&lt;&gt;"✗"),1,0)</f>
        <v/>
      </c>
      <c r="I197">
        <f>IF(AND(W28!H14&lt;&gt;"",W28!H14&lt;&gt;"✗"),1,0)</f>
        <v/>
      </c>
      <c r="J197">
        <f>IF(AND(W28!H15&lt;&gt;"",W28!H15&lt;&gt;"✗"),1,0)</f>
        <v/>
      </c>
      <c r="K197">
        <f>IF(AND(W28!H16&lt;&gt;"",W28!H16&lt;&gt;"✗"),1,0)</f>
        <v/>
      </c>
      <c r="L197">
        <f>IF(AND(W28!H17&lt;&gt;"",W28!H17&lt;&gt;"✗"),1,0)</f>
        <v/>
      </c>
      <c r="M197">
        <f>IF(AND(W28!H18&lt;&gt;"",W28!H18&lt;&gt;"✗"),1,0)</f>
        <v/>
      </c>
      <c r="O197">
        <f>IF(D197=1,O196+1,0)</f>
        <v/>
      </c>
      <c r="P197">
        <f>IF(E197=1,P196+1,0)</f>
        <v/>
      </c>
      <c r="Q197">
        <f>IF(F197=1,Q196+1,0)</f>
        <v/>
      </c>
      <c r="R197">
        <f>IF(G197=1,R196+1,0)</f>
        <v/>
      </c>
      <c r="S197">
        <f>IF(H197=1,S196+1,0)</f>
        <v/>
      </c>
      <c r="T197">
        <f>IF(I197=1,T196+1,0)</f>
        <v/>
      </c>
      <c r="U197">
        <f>IF(J197=1,U196+1,0)</f>
        <v/>
      </c>
      <c r="V197">
        <f>IF(K197=1,V196+1,0)</f>
        <v/>
      </c>
      <c r="W197">
        <f>IF(L197=1,W196+1,0)</f>
        <v/>
      </c>
      <c r="X197">
        <f>IF(M197=1,X196+1,0)</f>
        <v/>
      </c>
    </row>
    <row r="198">
      <c r="A198" s="58">
        <f>'Start Here'!$E$6+195</f>
        <v/>
      </c>
      <c r="B198" t="n">
        <v>28</v>
      </c>
      <c r="C198" t="inlineStr">
        <is>
          <t>SUN</t>
        </is>
      </c>
      <c r="D198">
        <f>IF(AND(W28!I9&lt;&gt;"",W28!I9&lt;&gt;"✗"),1,0)</f>
        <v/>
      </c>
      <c r="E198">
        <f>IF(AND(W28!I10&lt;&gt;"",W28!I10&lt;&gt;"✗"),1,0)</f>
        <v/>
      </c>
      <c r="F198">
        <f>IF(AND(W28!I11&lt;&gt;"",W28!I11&lt;&gt;"✗"),1,0)</f>
        <v/>
      </c>
      <c r="G198">
        <f>IF(AND(W28!I12&lt;&gt;"",W28!I12&lt;&gt;"✗"),1,0)</f>
        <v/>
      </c>
      <c r="H198">
        <f>IF(AND(W28!I13&lt;&gt;"",W28!I13&lt;&gt;"✗"),1,0)</f>
        <v/>
      </c>
      <c r="I198">
        <f>IF(AND(W28!I14&lt;&gt;"",W28!I14&lt;&gt;"✗"),1,0)</f>
        <v/>
      </c>
      <c r="J198">
        <f>IF(AND(W28!I15&lt;&gt;"",W28!I15&lt;&gt;"✗"),1,0)</f>
        <v/>
      </c>
      <c r="K198">
        <f>IF(AND(W28!I16&lt;&gt;"",W28!I16&lt;&gt;"✗"),1,0)</f>
        <v/>
      </c>
      <c r="L198">
        <f>IF(AND(W28!I17&lt;&gt;"",W28!I17&lt;&gt;"✗"),1,0)</f>
        <v/>
      </c>
      <c r="M198">
        <f>IF(AND(W28!I18&lt;&gt;"",W28!I18&lt;&gt;"✗"),1,0)</f>
        <v/>
      </c>
      <c r="O198">
        <f>IF(D198=1,O197+1,0)</f>
        <v/>
      </c>
      <c r="P198">
        <f>IF(E198=1,P197+1,0)</f>
        <v/>
      </c>
      <c r="Q198">
        <f>IF(F198=1,Q197+1,0)</f>
        <v/>
      </c>
      <c r="R198">
        <f>IF(G198=1,R197+1,0)</f>
        <v/>
      </c>
      <c r="S198">
        <f>IF(H198=1,S197+1,0)</f>
        <v/>
      </c>
      <c r="T198">
        <f>IF(I198=1,T197+1,0)</f>
        <v/>
      </c>
      <c r="U198">
        <f>IF(J198=1,U197+1,0)</f>
        <v/>
      </c>
      <c r="V198">
        <f>IF(K198=1,V197+1,0)</f>
        <v/>
      </c>
      <c r="W198">
        <f>IF(L198=1,W197+1,0)</f>
        <v/>
      </c>
      <c r="X198">
        <f>IF(M198=1,X197+1,0)</f>
        <v/>
      </c>
    </row>
    <row r="199">
      <c r="A199" s="58">
        <f>'Start Here'!$E$6+196</f>
        <v/>
      </c>
      <c r="B199" t="n">
        <v>29</v>
      </c>
      <c r="C199" t="inlineStr">
        <is>
          <t>MON</t>
        </is>
      </c>
      <c r="D199">
        <f>IF(AND(W29!C9&lt;&gt;"",W29!C9&lt;&gt;"✗"),1,0)</f>
        <v/>
      </c>
      <c r="E199">
        <f>IF(AND(W29!C10&lt;&gt;"",W29!C10&lt;&gt;"✗"),1,0)</f>
        <v/>
      </c>
      <c r="F199">
        <f>IF(AND(W29!C11&lt;&gt;"",W29!C11&lt;&gt;"✗"),1,0)</f>
        <v/>
      </c>
      <c r="G199">
        <f>IF(AND(W29!C12&lt;&gt;"",W29!C12&lt;&gt;"✗"),1,0)</f>
        <v/>
      </c>
      <c r="H199">
        <f>IF(AND(W29!C13&lt;&gt;"",W29!C13&lt;&gt;"✗"),1,0)</f>
        <v/>
      </c>
      <c r="I199">
        <f>IF(AND(W29!C14&lt;&gt;"",W29!C14&lt;&gt;"✗"),1,0)</f>
        <v/>
      </c>
      <c r="J199">
        <f>IF(AND(W29!C15&lt;&gt;"",W29!C15&lt;&gt;"✗"),1,0)</f>
        <v/>
      </c>
      <c r="K199">
        <f>IF(AND(W29!C16&lt;&gt;"",W29!C16&lt;&gt;"✗"),1,0)</f>
        <v/>
      </c>
      <c r="L199">
        <f>IF(AND(W29!C17&lt;&gt;"",W29!C17&lt;&gt;"✗"),1,0)</f>
        <v/>
      </c>
      <c r="M199">
        <f>IF(AND(W29!C18&lt;&gt;"",W29!C18&lt;&gt;"✗"),1,0)</f>
        <v/>
      </c>
      <c r="O199">
        <f>IF(D199=1,O198+1,0)</f>
        <v/>
      </c>
      <c r="P199">
        <f>IF(E199=1,P198+1,0)</f>
        <v/>
      </c>
      <c r="Q199">
        <f>IF(F199=1,Q198+1,0)</f>
        <v/>
      </c>
      <c r="R199">
        <f>IF(G199=1,R198+1,0)</f>
        <v/>
      </c>
      <c r="S199">
        <f>IF(H199=1,S198+1,0)</f>
        <v/>
      </c>
      <c r="T199">
        <f>IF(I199=1,T198+1,0)</f>
        <v/>
      </c>
      <c r="U199">
        <f>IF(J199=1,U198+1,0)</f>
        <v/>
      </c>
      <c r="V199">
        <f>IF(K199=1,V198+1,0)</f>
        <v/>
      </c>
      <c r="W199">
        <f>IF(L199=1,W198+1,0)</f>
        <v/>
      </c>
      <c r="X199">
        <f>IF(M199=1,X198+1,0)</f>
        <v/>
      </c>
    </row>
    <row r="200">
      <c r="A200" s="58">
        <f>'Start Here'!$E$6+197</f>
        <v/>
      </c>
      <c r="B200" t="n">
        <v>29</v>
      </c>
      <c r="C200" t="inlineStr">
        <is>
          <t>TUE</t>
        </is>
      </c>
      <c r="D200">
        <f>IF(AND(W29!D9&lt;&gt;"",W29!D9&lt;&gt;"✗"),1,0)</f>
        <v/>
      </c>
      <c r="E200">
        <f>IF(AND(W29!D10&lt;&gt;"",W29!D10&lt;&gt;"✗"),1,0)</f>
        <v/>
      </c>
      <c r="F200">
        <f>IF(AND(W29!D11&lt;&gt;"",W29!D11&lt;&gt;"✗"),1,0)</f>
        <v/>
      </c>
      <c r="G200">
        <f>IF(AND(W29!D12&lt;&gt;"",W29!D12&lt;&gt;"✗"),1,0)</f>
        <v/>
      </c>
      <c r="H200">
        <f>IF(AND(W29!D13&lt;&gt;"",W29!D13&lt;&gt;"✗"),1,0)</f>
        <v/>
      </c>
      <c r="I200">
        <f>IF(AND(W29!D14&lt;&gt;"",W29!D14&lt;&gt;"✗"),1,0)</f>
        <v/>
      </c>
      <c r="J200">
        <f>IF(AND(W29!D15&lt;&gt;"",W29!D15&lt;&gt;"✗"),1,0)</f>
        <v/>
      </c>
      <c r="K200">
        <f>IF(AND(W29!D16&lt;&gt;"",W29!D16&lt;&gt;"✗"),1,0)</f>
        <v/>
      </c>
      <c r="L200">
        <f>IF(AND(W29!D17&lt;&gt;"",W29!D17&lt;&gt;"✗"),1,0)</f>
        <v/>
      </c>
      <c r="M200">
        <f>IF(AND(W29!D18&lt;&gt;"",W29!D18&lt;&gt;"✗"),1,0)</f>
        <v/>
      </c>
      <c r="O200">
        <f>IF(D200=1,O199+1,0)</f>
        <v/>
      </c>
      <c r="P200">
        <f>IF(E200=1,P199+1,0)</f>
        <v/>
      </c>
      <c r="Q200">
        <f>IF(F200=1,Q199+1,0)</f>
        <v/>
      </c>
      <c r="R200">
        <f>IF(G200=1,R199+1,0)</f>
        <v/>
      </c>
      <c r="S200">
        <f>IF(H200=1,S199+1,0)</f>
        <v/>
      </c>
      <c r="T200">
        <f>IF(I200=1,T199+1,0)</f>
        <v/>
      </c>
      <c r="U200">
        <f>IF(J200=1,U199+1,0)</f>
        <v/>
      </c>
      <c r="V200">
        <f>IF(K200=1,V199+1,0)</f>
        <v/>
      </c>
      <c r="W200">
        <f>IF(L200=1,W199+1,0)</f>
        <v/>
      </c>
      <c r="X200">
        <f>IF(M200=1,X199+1,0)</f>
        <v/>
      </c>
    </row>
    <row r="201">
      <c r="A201" s="58">
        <f>'Start Here'!$E$6+198</f>
        <v/>
      </c>
      <c r="B201" t="n">
        <v>29</v>
      </c>
      <c r="C201" t="inlineStr">
        <is>
          <t>WED</t>
        </is>
      </c>
      <c r="D201">
        <f>IF(AND(W29!E9&lt;&gt;"",W29!E9&lt;&gt;"✗"),1,0)</f>
        <v/>
      </c>
      <c r="E201">
        <f>IF(AND(W29!E10&lt;&gt;"",W29!E10&lt;&gt;"✗"),1,0)</f>
        <v/>
      </c>
      <c r="F201">
        <f>IF(AND(W29!E11&lt;&gt;"",W29!E11&lt;&gt;"✗"),1,0)</f>
        <v/>
      </c>
      <c r="G201">
        <f>IF(AND(W29!E12&lt;&gt;"",W29!E12&lt;&gt;"✗"),1,0)</f>
        <v/>
      </c>
      <c r="H201">
        <f>IF(AND(W29!E13&lt;&gt;"",W29!E13&lt;&gt;"✗"),1,0)</f>
        <v/>
      </c>
      <c r="I201">
        <f>IF(AND(W29!E14&lt;&gt;"",W29!E14&lt;&gt;"✗"),1,0)</f>
        <v/>
      </c>
      <c r="J201">
        <f>IF(AND(W29!E15&lt;&gt;"",W29!E15&lt;&gt;"✗"),1,0)</f>
        <v/>
      </c>
      <c r="K201">
        <f>IF(AND(W29!E16&lt;&gt;"",W29!E16&lt;&gt;"✗"),1,0)</f>
        <v/>
      </c>
      <c r="L201">
        <f>IF(AND(W29!E17&lt;&gt;"",W29!E17&lt;&gt;"✗"),1,0)</f>
        <v/>
      </c>
      <c r="M201">
        <f>IF(AND(W29!E18&lt;&gt;"",W29!E18&lt;&gt;"✗"),1,0)</f>
        <v/>
      </c>
      <c r="O201">
        <f>IF(D201=1,O200+1,0)</f>
        <v/>
      </c>
      <c r="P201">
        <f>IF(E201=1,P200+1,0)</f>
        <v/>
      </c>
      <c r="Q201">
        <f>IF(F201=1,Q200+1,0)</f>
        <v/>
      </c>
      <c r="R201">
        <f>IF(G201=1,R200+1,0)</f>
        <v/>
      </c>
      <c r="S201">
        <f>IF(H201=1,S200+1,0)</f>
        <v/>
      </c>
      <c r="T201">
        <f>IF(I201=1,T200+1,0)</f>
        <v/>
      </c>
      <c r="U201">
        <f>IF(J201=1,U200+1,0)</f>
        <v/>
      </c>
      <c r="V201">
        <f>IF(K201=1,V200+1,0)</f>
        <v/>
      </c>
      <c r="W201">
        <f>IF(L201=1,W200+1,0)</f>
        <v/>
      </c>
      <c r="X201">
        <f>IF(M201=1,X200+1,0)</f>
        <v/>
      </c>
    </row>
    <row r="202">
      <c r="A202" s="58">
        <f>'Start Here'!$E$6+199</f>
        <v/>
      </c>
      <c r="B202" t="n">
        <v>29</v>
      </c>
      <c r="C202" t="inlineStr">
        <is>
          <t>THU</t>
        </is>
      </c>
      <c r="D202">
        <f>IF(AND(W29!F9&lt;&gt;"",W29!F9&lt;&gt;"✗"),1,0)</f>
        <v/>
      </c>
      <c r="E202">
        <f>IF(AND(W29!F10&lt;&gt;"",W29!F10&lt;&gt;"✗"),1,0)</f>
        <v/>
      </c>
      <c r="F202">
        <f>IF(AND(W29!F11&lt;&gt;"",W29!F11&lt;&gt;"✗"),1,0)</f>
        <v/>
      </c>
      <c r="G202">
        <f>IF(AND(W29!F12&lt;&gt;"",W29!F12&lt;&gt;"✗"),1,0)</f>
        <v/>
      </c>
      <c r="H202">
        <f>IF(AND(W29!F13&lt;&gt;"",W29!F13&lt;&gt;"✗"),1,0)</f>
        <v/>
      </c>
      <c r="I202">
        <f>IF(AND(W29!F14&lt;&gt;"",W29!F14&lt;&gt;"✗"),1,0)</f>
        <v/>
      </c>
      <c r="J202">
        <f>IF(AND(W29!F15&lt;&gt;"",W29!F15&lt;&gt;"✗"),1,0)</f>
        <v/>
      </c>
      <c r="K202">
        <f>IF(AND(W29!F16&lt;&gt;"",W29!F16&lt;&gt;"✗"),1,0)</f>
        <v/>
      </c>
      <c r="L202">
        <f>IF(AND(W29!F17&lt;&gt;"",W29!F17&lt;&gt;"✗"),1,0)</f>
        <v/>
      </c>
      <c r="M202">
        <f>IF(AND(W29!F18&lt;&gt;"",W29!F18&lt;&gt;"✗"),1,0)</f>
        <v/>
      </c>
      <c r="O202">
        <f>IF(D202=1,O201+1,0)</f>
        <v/>
      </c>
      <c r="P202">
        <f>IF(E202=1,P201+1,0)</f>
        <v/>
      </c>
      <c r="Q202">
        <f>IF(F202=1,Q201+1,0)</f>
        <v/>
      </c>
      <c r="R202">
        <f>IF(G202=1,R201+1,0)</f>
        <v/>
      </c>
      <c r="S202">
        <f>IF(H202=1,S201+1,0)</f>
        <v/>
      </c>
      <c r="T202">
        <f>IF(I202=1,T201+1,0)</f>
        <v/>
      </c>
      <c r="U202">
        <f>IF(J202=1,U201+1,0)</f>
        <v/>
      </c>
      <c r="V202">
        <f>IF(K202=1,V201+1,0)</f>
        <v/>
      </c>
      <c r="W202">
        <f>IF(L202=1,W201+1,0)</f>
        <v/>
      </c>
      <c r="X202">
        <f>IF(M202=1,X201+1,0)</f>
        <v/>
      </c>
    </row>
    <row r="203">
      <c r="A203" s="58">
        <f>'Start Here'!$E$6+200</f>
        <v/>
      </c>
      <c r="B203" t="n">
        <v>29</v>
      </c>
      <c r="C203" t="inlineStr">
        <is>
          <t>FRI</t>
        </is>
      </c>
      <c r="D203">
        <f>IF(AND(W29!G9&lt;&gt;"",W29!G9&lt;&gt;"✗"),1,0)</f>
        <v/>
      </c>
      <c r="E203">
        <f>IF(AND(W29!G10&lt;&gt;"",W29!G10&lt;&gt;"✗"),1,0)</f>
        <v/>
      </c>
      <c r="F203">
        <f>IF(AND(W29!G11&lt;&gt;"",W29!G11&lt;&gt;"✗"),1,0)</f>
        <v/>
      </c>
      <c r="G203">
        <f>IF(AND(W29!G12&lt;&gt;"",W29!G12&lt;&gt;"✗"),1,0)</f>
        <v/>
      </c>
      <c r="H203">
        <f>IF(AND(W29!G13&lt;&gt;"",W29!G13&lt;&gt;"✗"),1,0)</f>
        <v/>
      </c>
      <c r="I203">
        <f>IF(AND(W29!G14&lt;&gt;"",W29!G14&lt;&gt;"✗"),1,0)</f>
        <v/>
      </c>
      <c r="J203">
        <f>IF(AND(W29!G15&lt;&gt;"",W29!G15&lt;&gt;"✗"),1,0)</f>
        <v/>
      </c>
      <c r="K203">
        <f>IF(AND(W29!G16&lt;&gt;"",W29!G16&lt;&gt;"✗"),1,0)</f>
        <v/>
      </c>
      <c r="L203">
        <f>IF(AND(W29!G17&lt;&gt;"",W29!G17&lt;&gt;"✗"),1,0)</f>
        <v/>
      </c>
      <c r="M203">
        <f>IF(AND(W29!G18&lt;&gt;"",W29!G18&lt;&gt;"✗"),1,0)</f>
        <v/>
      </c>
      <c r="O203">
        <f>IF(D203=1,O202+1,0)</f>
        <v/>
      </c>
      <c r="P203">
        <f>IF(E203=1,P202+1,0)</f>
        <v/>
      </c>
      <c r="Q203">
        <f>IF(F203=1,Q202+1,0)</f>
        <v/>
      </c>
      <c r="R203">
        <f>IF(G203=1,R202+1,0)</f>
        <v/>
      </c>
      <c r="S203">
        <f>IF(H203=1,S202+1,0)</f>
        <v/>
      </c>
      <c r="T203">
        <f>IF(I203=1,T202+1,0)</f>
        <v/>
      </c>
      <c r="U203">
        <f>IF(J203=1,U202+1,0)</f>
        <v/>
      </c>
      <c r="V203">
        <f>IF(K203=1,V202+1,0)</f>
        <v/>
      </c>
      <c r="W203">
        <f>IF(L203=1,W202+1,0)</f>
        <v/>
      </c>
      <c r="X203">
        <f>IF(M203=1,X202+1,0)</f>
        <v/>
      </c>
    </row>
    <row r="204">
      <c r="A204" s="58">
        <f>'Start Here'!$E$6+201</f>
        <v/>
      </c>
      <c r="B204" t="n">
        <v>29</v>
      </c>
      <c r="C204" t="inlineStr">
        <is>
          <t>SAT</t>
        </is>
      </c>
      <c r="D204">
        <f>IF(AND(W29!H9&lt;&gt;"",W29!H9&lt;&gt;"✗"),1,0)</f>
        <v/>
      </c>
      <c r="E204">
        <f>IF(AND(W29!H10&lt;&gt;"",W29!H10&lt;&gt;"✗"),1,0)</f>
        <v/>
      </c>
      <c r="F204">
        <f>IF(AND(W29!H11&lt;&gt;"",W29!H11&lt;&gt;"✗"),1,0)</f>
        <v/>
      </c>
      <c r="G204">
        <f>IF(AND(W29!H12&lt;&gt;"",W29!H12&lt;&gt;"✗"),1,0)</f>
        <v/>
      </c>
      <c r="H204">
        <f>IF(AND(W29!H13&lt;&gt;"",W29!H13&lt;&gt;"✗"),1,0)</f>
        <v/>
      </c>
      <c r="I204">
        <f>IF(AND(W29!H14&lt;&gt;"",W29!H14&lt;&gt;"✗"),1,0)</f>
        <v/>
      </c>
      <c r="J204">
        <f>IF(AND(W29!H15&lt;&gt;"",W29!H15&lt;&gt;"✗"),1,0)</f>
        <v/>
      </c>
      <c r="K204">
        <f>IF(AND(W29!H16&lt;&gt;"",W29!H16&lt;&gt;"✗"),1,0)</f>
        <v/>
      </c>
      <c r="L204">
        <f>IF(AND(W29!H17&lt;&gt;"",W29!H17&lt;&gt;"✗"),1,0)</f>
        <v/>
      </c>
      <c r="M204">
        <f>IF(AND(W29!H18&lt;&gt;"",W29!H18&lt;&gt;"✗"),1,0)</f>
        <v/>
      </c>
      <c r="O204">
        <f>IF(D204=1,O203+1,0)</f>
        <v/>
      </c>
      <c r="P204">
        <f>IF(E204=1,P203+1,0)</f>
        <v/>
      </c>
      <c r="Q204">
        <f>IF(F204=1,Q203+1,0)</f>
        <v/>
      </c>
      <c r="R204">
        <f>IF(G204=1,R203+1,0)</f>
        <v/>
      </c>
      <c r="S204">
        <f>IF(H204=1,S203+1,0)</f>
        <v/>
      </c>
      <c r="T204">
        <f>IF(I204=1,T203+1,0)</f>
        <v/>
      </c>
      <c r="U204">
        <f>IF(J204=1,U203+1,0)</f>
        <v/>
      </c>
      <c r="V204">
        <f>IF(K204=1,V203+1,0)</f>
        <v/>
      </c>
      <c r="W204">
        <f>IF(L204=1,W203+1,0)</f>
        <v/>
      </c>
      <c r="X204">
        <f>IF(M204=1,X203+1,0)</f>
        <v/>
      </c>
    </row>
    <row r="205">
      <c r="A205" s="58">
        <f>'Start Here'!$E$6+202</f>
        <v/>
      </c>
      <c r="B205" t="n">
        <v>29</v>
      </c>
      <c r="C205" t="inlineStr">
        <is>
          <t>SUN</t>
        </is>
      </c>
      <c r="D205">
        <f>IF(AND(W29!I9&lt;&gt;"",W29!I9&lt;&gt;"✗"),1,0)</f>
        <v/>
      </c>
      <c r="E205">
        <f>IF(AND(W29!I10&lt;&gt;"",W29!I10&lt;&gt;"✗"),1,0)</f>
        <v/>
      </c>
      <c r="F205">
        <f>IF(AND(W29!I11&lt;&gt;"",W29!I11&lt;&gt;"✗"),1,0)</f>
        <v/>
      </c>
      <c r="G205">
        <f>IF(AND(W29!I12&lt;&gt;"",W29!I12&lt;&gt;"✗"),1,0)</f>
        <v/>
      </c>
      <c r="H205">
        <f>IF(AND(W29!I13&lt;&gt;"",W29!I13&lt;&gt;"✗"),1,0)</f>
        <v/>
      </c>
      <c r="I205">
        <f>IF(AND(W29!I14&lt;&gt;"",W29!I14&lt;&gt;"✗"),1,0)</f>
        <v/>
      </c>
      <c r="J205">
        <f>IF(AND(W29!I15&lt;&gt;"",W29!I15&lt;&gt;"✗"),1,0)</f>
        <v/>
      </c>
      <c r="K205">
        <f>IF(AND(W29!I16&lt;&gt;"",W29!I16&lt;&gt;"✗"),1,0)</f>
        <v/>
      </c>
      <c r="L205">
        <f>IF(AND(W29!I17&lt;&gt;"",W29!I17&lt;&gt;"✗"),1,0)</f>
        <v/>
      </c>
      <c r="M205">
        <f>IF(AND(W29!I18&lt;&gt;"",W29!I18&lt;&gt;"✗"),1,0)</f>
        <v/>
      </c>
      <c r="O205">
        <f>IF(D205=1,O204+1,0)</f>
        <v/>
      </c>
      <c r="P205">
        <f>IF(E205=1,P204+1,0)</f>
        <v/>
      </c>
      <c r="Q205">
        <f>IF(F205=1,Q204+1,0)</f>
        <v/>
      </c>
      <c r="R205">
        <f>IF(G205=1,R204+1,0)</f>
        <v/>
      </c>
      <c r="S205">
        <f>IF(H205=1,S204+1,0)</f>
        <v/>
      </c>
      <c r="T205">
        <f>IF(I205=1,T204+1,0)</f>
        <v/>
      </c>
      <c r="U205">
        <f>IF(J205=1,U204+1,0)</f>
        <v/>
      </c>
      <c r="V205">
        <f>IF(K205=1,V204+1,0)</f>
        <v/>
      </c>
      <c r="W205">
        <f>IF(L205=1,W204+1,0)</f>
        <v/>
      </c>
      <c r="X205">
        <f>IF(M205=1,X204+1,0)</f>
        <v/>
      </c>
    </row>
    <row r="206">
      <c r="A206" s="58">
        <f>'Start Here'!$E$6+203</f>
        <v/>
      </c>
      <c r="B206" t="n">
        <v>30</v>
      </c>
      <c r="C206" t="inlineStr">
        <is>
          <t>MON</t>
        </is>
      </c>
      <c r="D206">
        <f>IF(AND(W30!C9&lt;&gt;"",W30!C9&lt;&gt;"✗"),1,0)</f>
        <v/>
      </c>
      <c r="E206">
        <f>IF(AND(W30!C10&lt;&gt;"",W30!C10&lt;&gt;"✗"),1,0)</f>
        <v/>
      </c>
      <c r="F206">
        <f>IF(AND(W30!C11&lt;&gt;"",W30!C11&lt;&gt;"✗"),1,0)</f>
        <v/>
      </c>
      <c r="G206">
        <f>IF(AND(W30!C12&lt;&gt;"",W30!C12&lt;&gt;"✗"),1,0)</f>
        <v/>
      </c>
      <c r="H206">
        <f>IF(AND(W30!C13&lt;&gt;"",W30!C13&lt;&gt;"✗"),1,0)</f>
        <v/>
      </c>
      <c r="I206">
        <f>IF(AND(W30!C14&lt;&gt;"",W30!C14&lt;&gt;"✗"),1,0)</f>
        <v/>
      </c>
      <c r="J206">
        <f>IF(AND(W30!C15&lt;&gt;"",W30!C15&lt;&gt;"✗"),1,0)</f>
        <v/>
      </c>
      <c r="K206">
        <f>IF(AND(W30!C16&lt;&gt;"",W30!C16&lt;&gt;"✗"),1,0)</f>
        <v/>
      </c>
      <c r="L206">
        <f>IF(AND(W30!C17&lt;&gt;"",W30!C17&lt;&gt;"✗"),1,0)</f>
        <v/>
      </c>
      <c r="M206">
        <f>IF(AND(W30!C18&lt;&gt;"",W30!C18&lt;&gt;"✗"),1,0)</f>
        <v/>
      </c>
      <c r="O206">
        <f>IF(D206=1,O205+1,0)</f>
        <v/>
      </c>
      <c r="P206">
        <f>IF(E206=1,P205+1,0)</f>
        <v/>
      </c>
      <c r="Q206">
        <f>IF(F206=1,Q205+1,0)</f>
        <v/>
      </c>
      <c r="R206">
        <f>IF(G206=1,R205+1,0)</f>
        <v/>
      </c>
      <c r="S206">
        <f>IF(H206=1,S205+1,0)</f>
        <v/>
      </c>
      <c r="T206">
        <f>IF(I206=1,T205+1,0)</f>
        <v/>
      </c>
      <c r="U206">
        <f>IF(J206=1,U205+1,0)</f>
        <v/>
      </c>
      <c r="V206">
        <f>IF(K206=1,V205+1,0)</f>
        <v/>
      </c>
      <c r="W206">
        <f>IF(L206=1,W205+1,0)</f>
        <v/>
      </c>
      <c r="X206">
        <f>IF(M206=1,X205+1,0)</f>
        <v/>
      </c>
    </row>
    <row r="207">
      <c r="A207" s="58">
        <f>'Start Here'!$E$6+204</f>
        <v/>
      </c>
      <c r="B207" t="n">
        <v>30</v>
      </c>
      <c r="C207" t="inlineStr">
        <is>
          <t>TUE</t>
        </is>
      </c>
      <c r="D207">
        <f>IF(AND(W30!D9&lt;&gt;"",W30!D9&lt;&gt;"✗"),1,0)</f>
        <v/>
      </c>
      <c r="E207">
        <f>IF(AND(W30!D10&lt;&gt;"",W30!D10&lt;&gt;"✗"),1,0)</f>
        <v/>
      </c>
      <c r="F207">
        <f>IF(AND(W30!D11&lt;&gt;"",W30!D11&lt;&gt;"✗"),1,0)</f>
        <v/>
      </c>
      <c r="G207">
        <f>IF(AND(W30!D12&lt;&gt;"",W30!D12&lt;&gt;"✗"),1,0)</f>
        <v/>
      </c>
      <c r="H207">
        <f>IF(AND(W30!D13&lt;&gt;"",W30!D13&lt;&gt;"✗"),1,0)</f>
        <v/>
      </c>
      <c r="I207">
        <f>IF(AND(W30!D14&lt;&gt;"",W30!D14&lt;&gt;"✗"),1,0)</f>
        <v/>
      </c>
      <c r="J207">
        <f>IF(AND(W30!D15&lt;&gt;"",W30!D15&lt;&gt;"✗"),1,0)</f>
        <v/>
      </c>
      <c r="K207">
        <f>IF(AND(W30!D16&lt;&gt;"",W30!D16&lt;&gt;"✗"),1,0)</f>
        <v/>
      </c>
      <c r="L207">
        <f>IF(AND(W30!D17&lt;&gt;"",W30!D17&lt;&gt;"✗"),1,0)</f>
        <v/>
      </c>
      <c r="M207">
        <f>IF(AND(W30!D18&lt;&gt;"",W30!D18&lt;&gt;"✗"),1,0)</f>
        <v/>
      </c>
      <c r="O207">
        <f>IF(D207=1,O206+1,0)</f>
        <v/>
      </c>
      <c r="P207">
        <f>IF(E207=1,P206+1,0)</f>
        <v/>
      </c>
      <c r="Q207">
        <f>IF(F207=1,Q206+1,0)</f>
        <v/>
      </c>
      <c r="R207">
        <f>IF(G207=1,R206+1,0)</f>
        <v/>
      </c>
      <c r="S207">
        <f>IF(H207=1,S206+1,0)</f>
        <v/>
      </c>
      <c r="T207">
        <f>IF(I207=1,T206+1,0)</f>
        <v/>
      </c>
      <c r="U207">
        <f>IF(J207=1,U206+1,0)</f>
        <v/>
      </c>
      <c r="V207">
        <f>IF(K207=1,V206+1,0)</f>
        <v/>
      </c>
      <c r="W207">
        <f>IF(L207=1,W206+1,0)</f>
        <v/>
      </c>
      <c r="X207">
        <f>IF(M207=1,X206+1,0)</f>
        <v/>
      </c>
    </row>
    <row r="208">
      <c r="A208" s="58">
        <f>'Start Here'!$E$6+205</f>
        <v/>
      </c>
      <c r="B208" t="n">
        <v>30</v>
      </c>
      <c r="C208" t="inlineStr">
        <is>
          <t>WED</t>
        </is>
      </c>
      <c r="D208">
        <f>IF(AND(W30!E9&lt;&gt;"",W30!E9&lt;&gt;"✗"),1,0)</f>
        <v/>
      </c>
      <c r="E208">
        <f>IF(AND(W30!E10&lt;&gt;"",W30!E10&lt;&gt;"✗"),1,0)</f>
        <v/>
      </c>
      <c r="F208">
        <f>IF(AND(W30!E11&lt;&gt;"",W30!E11&lt;&gt;"✗"),1,0)</f>
        <v/>
      </c>
      <c r="G208">
        <f>IF(AND(W30!E12&lt;&gt;"",W30!E12&lt;&gt;"✗"),1,0)</f>
        <v/>
      </c>
      <c r="H208">
        <f>IF(AND(W30!E13&lt;&gt;"",W30!E13&lt;&gt;"✗"),1,0)</f>
        <v/>
      </c>
      <c r="I208">
        <f>IF(AND(W30!E14&lt;&gt;"",W30!E14&lt;&gt;"✗"),1,0)</f>
        <v/>
      </c>
      <c r="J208">
        <f>IF(AND(W30!E15&lt;&gt;"",W30!E15&lt;&gt;"✗"),1,0)</f>
        <v/>
      </c>
      <c r="K208">
        <f>IF(AND(W30!E16&lt;&gt;"",W30!E16&lt;&gt;"✗"),1,0)</f>
        <v/>
      </c>
      <c r="L208">
        <f>IF(AND(W30!E17&lt;&gt;"",W30!E17&lt;&gt;"✗"),1,0)</f>
        <v/>
      </c>
      <c r="M208">
        <f>IF(AND(W30!E18&lt;&gt;"",W30!E18&lt;&gt;"✗"),1,0)</f>
        <v/>
      </c>
      <c r="O208">
        <f>IF(D208=1,O207+1,0)</f>
        <v/>
      </c>
      <c r="P208">
        <f>IF(E208=1,P207+1,0)</f>
        <v/>
      </c>
      <c r="Q208">
        <f>IF(F208=1,Q207+1,0)</f>
        <v/>
      </c>
      <c r="R208">
        <f>IF(G208=1,R207+1,0)</f>
        <v/>
      </c>
      <c r="S208">
        <f>IF(H208=1,S207+1,0)</f>
        <v/>
      </c>
      <c r="T208">
        <f>IF(I208=1,T207+1,0)</f>
        <v/>
      </c>
      <c r="U208">
        <f>IF(J208=1,U207+1,0)</f>
        <v/>
      </c>
      <c r="V208">
        <f>IF(K208=1,V207+1,0)</f>
        <v/>
      </c>
      <c r="W208">
        <f>IF(L208=1,W207+1,0)</f>
        <v/>
      </c>
      <c r="X208">
        <f>IF(M208=1,X207+1,0)</f>
        <v/>
      </c>
    </row>
    <row r="209">
      <c r="A209" s="58">
        <f>'Start Here'!$E$6+206</f>
        <v/>
      </c>
      <c r="B209" t="n">
        <v>30</v>
      </c>
      <c r="C209" t="inlineStr">
        <is>
          <t>THU</t>
        </is>
      </c>
      <c r="D209">
        <f>IF(AND(W30!F9&lt;&gt;"",W30!F9&lt;&gt;"✗"),1,0)</f>
        <v/>
      </c>
      <c r="E209">
        <f>IF(AND(W30!F10&lt;&gt;"",W30!F10&lt;&gt;"✗"),1,0)</f>
        <v/>
      </c>
      <c r="F209">
        <f>IF(AND(W30!F11&lt;&gt;"",W30!F11&lt;&gt;"✗"),1,0)</f>
        <v/>
      </c>
      <c r="G209">
        <f>IF(AND(W30!F12&lt;&gt;"",W30!F12&lt;&gt;"✗"),1,0)</f>
        <v/>
      </c>
      <c r="H209">
        <f>IF(AND(W30!F13&lt;&gt;"",W30!F13&lt;&gt;"✗"),1,0)</f>
        <v/>
      </c>
      <c r="I209">
        <f>IF(AND(W30!F14&lt;&gt;"",W30!F14&lt;&gt;"✗"),1,0)</f>
        <v/>
      </c>
      <c r="J209">
        <f>IF(AND(W30!F15&lt;&gt;"",W30!F15&lt;&gt;"✗"),1,0)</f>
        <v/>
      </c>
      <c r="K209">
        <f>IF(AND(W30!F16&lt;&gt;"",W30!F16&lt;&gt;"✗"),1,0)</f>
        <v/>
      </c>
      <c r="L209">
        <f>IF(AND(W30!F17&lt;&gt;"",W30!F17&lt;&gt;"✗"),1,0)</f>
        <v/>
      </c>
      <c r="M209">
        <f>IF(AND(W30!F18&lt;&gt;"",W30!F18&lt;&gt;"✗"),1,0)</f>
        <v/>
      </c>
      <c r="O209">
        <f>IF(D209=1,O208+1,0)</f>
        <v/>
      </c>
      <c r="P209">
        <f>IF(E209=1,P208+1,0)</f>
        <v/>
      </c>
      <c r="Q209">
        <f>IF(F209=1,Q208+1,0)</f>
        <v/>
      </c>
      <c r="R209">
        <f>IF(G209=1,R208+1,0)</f>
        <v/>
      </c>
      <c r="S209">
        <f>IF(H209=1,S208+1,0)</f>
        <v/>
      </c>
      <c r="T209">
        <f>IF(I209=1,T208+1,0)</f>
        <v/>
      </c>
      <c r="U209">
        <f>IF(J209=1,U208+1,0)</f>
        <v/>
      </c>
      <c r="V209">
        <f>IF(K209=1,V208+1,0)</f>
        <v/>
      </c>
      <c r="W209">
        <f>IF(L209=1,W208+1,0)</f>
        <v/>
      </c>
      <c r="X209">
        <f>IF(M209=1,X208+1,0)</f>
        <v/>
      </c>
    </row>
    <row r="210">
      <c r="A210" s="58">
        <f>'Start Here'!$E$6+207</f>
        <v/>
      </c>
      <c r="B210" t="n">
        <v>30</v>
      </c>
      <c r="C210" t="inlineStr">
        <is>
          <t>FRI</t>
        </is>
      </c>
      <c r="D210">
        <f>IF(AND(W30!G9&lt;&gt;"",W30!G9&lt;&gt;"✗"),1,0)</f>
        <v/>
      </c>
      <c r="E210">
        <f>IF(AND(W30!G10&lt;&gt;"",W30!G10&lt;&gt;"✗"),1,0)</f>
        <v/>
      </c>
      <c r="F210">
        <f>IF(AND(W30!G11&lt;&gt;"",W30!G11&lt;&gt;"✗"),1,0)</f>
        <v/>
      </c>
      <c r="G210">
        <f>IF(AND(W30!G12&lt;&gt;"",W30!G12&lt;&gt;"✗"),1,0)</f>
        <v/>
      </c>
      <c r="H210">
        <f>IF(AND(W30!G13&lt;&gt;"",W30!G13&lt;&gt;"✗"),1,0)</f>
        <v/>
      </c>
      <c r="I210">
        <f>IF(AND(W30!G14&lt;&gt;"",W30!G14&lt;&gt;"✗"),1,0)</f>
        <v/>
      </c>
      <c r="J210">
        <f>IF(AND(W30!G15&lt;&gt;"",W30!G15&lt;&gt;"✗"),1,0)</f>
        <v/>
      </c>
      <c r="K210">
        <f>IF(AND(W30!G16&lt;&gt;"",W30!G16&lt;&gt;"✗"),1,0)</f>
        <v/>
      </c>
      <c r="L210">
        <f>IF(AND(W30!G17&lt;&gt;"",W30!G17&lt;&gt;"✗"),1,0)</f>
        <v/>
      </c>
      <c r="M210">
        <f>IF(AND(W30!G18&lt;&gt;"",W30!G18&lt;&gt;"✗"),1,0)</f>
        <v/>
      </c>
      <c r="O210">
        <f>IF(D210=1,O209+1,0)</f>
        <v/>
      </c>
      <c r="P210">
        <f>IF(E210=1,P209+1,0)</f>
        <v/>
      </c>
      <c r="Q210">
        <f>IF(F210=1,Q209+1,0)</f>
        <v/>
      </c>
      <c r="R210">
        <f>IF(G210=1,R209+1,0)</f>
        <v/>
      </c>
      <c r="S210">
        <f>IF(H210=1,S209+1,0)</f>
        <v/>
      </c>
      <c r="T210">
        <f>IF(I210=1,T209+1,0)</f>
        <v/>
      </c>
      <c r="U210">
        <f>IF(J210=1,U209+1,0)</f>
        <v/>
      </c>
      <c r="V210">
        <f>IF(K210=1,V209+1,0)</f>
        <v/>
      </c>
      <c r="W210">
        <f>IF(L210=1,W209+1,0)</f>
        <v/>
      </c>
      <c r="X210">
        <f>IF(M210=1,X209+1,0)</f>
        <v/>
      </c>
    </row>
    <row r="211">
      <c r="A211" s="58">
        <f>'Start Here'!$E$6+208</f>
        <v/>
      </c>
      <c r="B211" t="n">
        <v>30</v>
      </c>
      <c r="C211" t="inlineStr">
        <is>
          <t>SAT</t>
        </is>
      </c>
      <c r="D211">
        <f>IF(AND(W30!H9&lt;&gt;"",W30!H9&lt;&gt;"✗"),1,0)</f>
        <v/>
      </c>
      <c r="E211">
        <f>IF(AND(W30!H10&lt;&gt;"",W30!H10&lt;&gt;"✗"),1,0)</f>
        <v/>
      </c>
      <c r="F211">
        <f>IF(AND(W30!H11&lt;&gt;"",W30!H11&lt;&gt;"✗"),1,0)</f>
        <v/>
      </c>
      <c r="G211">
        <f>IF(AND(W30!H12&lt;&gt;"",W30!H12&lt;&gt;"✗"),1,0)</f>
        <v/>
      </c>
      <c r="H211">
        <f>IF(AND(W30!H13&lt;&gt;"",W30!H13&lt;&gt;"✗"),1,0)</f>
        <v/>
      </c>
      <c r="I211">
        <f>IF(AND(W30!H14&lt;&gt;"",W30!H14&lt;&gt;"✗"),1,0)</f>
        <v/>
      </c>
      <c r="J211">
        <f>IF(AND(W30!H15&lt;&gt;"",W30!H15&lt;&gt;"✗"),1,0)</f>
        <v/>
      </c>
      <c r="K211">
        <f>IF(AND(W30!H16&lt;&gt;"",W30!H16&lt;&gt;"✗"),1,0)</f>
        <v/>
      </c>
      <c r="L211">
        <f>IF(AND(W30!H17&lt;&gt;"",W30!H17&lt;&gt;"✗"),1,0)</f>
        <v/>
      </c>
      <c r="M211">
        <f>IF(AND(W30!H18&lt;&gt;"",W30!H18&lt;&gt;"✗"),1,0)</f>
        <v/>
      </c>
      <c r="O211">
        <f>IF(D211=1,O210+1,0)</f>
        <v/>
      </c>
      <c r="P211">
        <f>IF(E211=1,P210+1,0)</f>
        <v/>
      </c>
      <c r="Q211">
        <f>IF(F211=1,Q210+1,0)</f>
        <v/>
      </c>
      <c r="R211">
        <f>IF(G211=1,R210+1,0)</f>
        <v/>
      </c>
      <c r="S211">
        <f>IF(H211=1,S210+1,0)</f>
        <v/>
      </c>
      <c r="T211">
        <f>IF(I211=1,T210+1,0)</f>
        <v/>
      </c>
      <c r="U211">
        <f>IF(J211=1,U210+1,0)</f>
        <v/>
      </c>
      <c r="V211">
        <f>IF(K211=1,V210+1,0)</f>
        <v/>
      </c>
      <c r="W211">
        <f>IF(L211=1,W210+1,0)</f>
        <v/>
      </c>
      <c r="X211">
        <f>IF(M211=1,X210+1,0)</f>
        <v/>
      </c>
    </row>
    <row r="212">
      <c r="A212" s="58">
        <f>'Start Here'!$E$6+209</f>
        <v/>
      </c>
      <c r="B212" t="n">
        <v>30</v>
      </c>
      <c r="C212" t="inlineStr">
        <is>
          <t>SUN</t>
        </is>
      </c>
      <c r="D212">
        <f>IF(AND(W30!I9&lt;&gt;"",W30!I9&lt;&gt;"✗"),1,0)</f>
        <v/>
      </c>
      <c r="E212">
        <f>IF(AND(W30!I10&lt;&gt;"",W30!I10&lt;&gt;"✗"),1,0)</f>
        <v/>
      </c>
      <c r="F212">
        <f>IF(AND(W30!I11&lt;&gt;"",W30!I11&lt;&gt;"✗"),1,0)</f>
        <v/>
      </c>
      <c r="G212">
        <f>IF(AND(W30!I12&lt;&gt;"",W30!I12&lt;&gt;"✗"),1,0)</f>
        <v/>
      </c>
      <c r="H212">
        <f>IF(AND(W30!I13&lt;&gt;"",W30!I13&lt;&gt;"✗"),1,0)</f>
        <v/>
      </c>
      <c r="I212">
        <f>IF(AND(W30!I14&lt;&gt;"",W30!I14&lt;&gt;"✗"),1,0)</f>
        <v/>
      </c>
      <c r="J212">
        <f>IF(AND(W30!I15&lt;&gt;"",W30!I15&lt;&gt;"✗"),1,0)</f>
        <v/>
      </c>
      <c r="K212">
        <f>IF(AND(W30!I16&lt;&gt;"",W30!I16&lt;&gt;"✗"),1,0)</f>
        <v/>
      </c>
      <c r="L212">
        <f>IF(AND(W30!I17&lt;&gt;"",W30!I17&lt;&gt;"✗"),1,0)</f>
        <v/>
      </c>
      <c r="M212">
        <f>IF(AND(W30!I18&lt;&gt;"",W30!I18&lt;&gt;"✗"),1,0)</f>
        <v/>
      </c>
      <c r="O212">
        <f>IF(D212=1,O211+1,0)</f>
        <v/>
      </c>
      <c r="P212">
        <f>IF(E212=1,P211+1,0)</f>
        <v/>
      </c>
      <c r="Q212">
        <f>IF(F212=1,Q211+1,0)</f>
        <v/>
      </c>
      <c r="R212">
        <f>IF(G212=1,R211+1,0)</f>
        <v/>
      </c>
      <c r="S212">
        <f>IF(H212=1,S211+1,0)</f>
        <v/>
      </c>
      <c r="T212">
        <f>IF(I212=1,T211+1,0)</f>
        <v/>
      </c>
      <c r="U212">
        <f>IF(J212=1,U211+1,0)</f>
        <v/>
      </c>
      <c r="V212">
        <f>IF(K212=1,V211+1,0)</f>
        <v/>
      </c>
      <c r="W212">
        <f>IF(L212=1,W211+1,0)</f>
        <v/>
      </c>
      <c r="X212">
        <f>IF(M212=1,X211+1,0)</f>
        <v/>
      </c>
    </row>
    <row r="213">
      <c r="A213" s="58">
        <f>'Start Here'!$E$6+210</f>
        <v/>
      </c>
      <c r="B213" t="n">
        <v>31</v>
      </c>
      <c r="C213" t="inlineStr">
        <is>
          <t>MON</t>
        </is>
      </c>
      <c r="D213">
        <f>IF(AND(W31!C9&lt;&gt;"",W31!C9&lt;&gt;"✗"),1,0)</f>
        <v/>
      </c>
      <c r="E213">
        <f>IF(AND(W31!C10&lt;&gt;"",W31!C10&lt;&gt;"✗"),1,0)</f>
        <v/>
      </c>
      <c r="F213">
        <f>IF(AND(W31!C11&lt;&gt;"",W31!C11&lt;&gt;"✗"),1,0)</f>
        <v/>
      </c>
      <c r="G213">
        <f>IF(AND(W31!C12&lt;&gt;"",W31!C12&lt;&gt;"✗"),1,0)</f>
        <v/>
      </c>
      <c r="H213">
        <f>IF(AND(W31!C13&lt;&gt;"",W31!C13&lt;&gt;"✗"),1,0)</f>
        <v/>
      </c>
      <c r="I213">
        <f>IF(AND(W31!C14&lt;&gt;"",W31!C14&lt;&gt;"✗"),1,0)</f>
        <v/>
      </c>
      <c r="J213">
        <f>IF(AND(W31!C15&lt;&gt;"",W31!C15&lt;&gt;"✗"),1,0)</f>
        <v/>
      </c>
      <c r="K213">
        <f>IF(AND(W31!C16&lt;&gt;"",W31!C16&lt;&gt;"✗"),1,0)</f>
        <v/>
      </c>
      <c r="L213">
        <f>IF(AND(W31!C17&lt;&gt;"",W31!C17&lt;&gt;"✗"),1,0)</f>
        <v/>
      </c>
      <c r="M213">
        <f>IF(AND(W31!C18&lt;&gt;"",W31!C18&lt;&gt;"✗"),1,0)</f>
        <v/>
      </c>
      <c r="O213">
        <f>IF(D213=1,O212+1,0)</f>
        <v/>
      </c>
      <c r="P213">
        <f>IF(E213=1,P212+1,0)</f>
        <v/>
      </c>
      <c r="Q213">
        <f>IF(F213=1,Q212+1,0)</f>
        <v/>
      </c>
      <c r="R213">
        <f>IF(G213=1,R212+1,0)</f>
        <v/>
      </c>
      <c r="S213">
        <f>IF(H213=1,S212+1,0)</f>
        <v/>
      </c>
      <c r="T213">
        <f>IF(I213=1,T212+1,0)</f>
        <v/>
      </c>
      <c r="U213">
        <f>IF(J213=1,U212+1,0)</f>
        <v/>
      </c>
      <c r="V213">
        <f>IF(K213=1,V212+1,0)</f>
        <v/>
      </c>
      <c r="W213">
        <f>IF(L213=1,W212+1,0)</f>
        <v/>
      </c>
      <c r="X213">
        <f>IF(M213=1,X212+1,0)</f>
        <v/>
      </c>
    </row>
    <row r="214">
      <c r="A214" s="58">
        <f>'Start Here'!$E$6+211</f>
        <v/>
      </c>
      <c r="B214" t="n">
        <v>31</v>
      </c>
      <c r="C214" t="inlineStr">
        <is>
          <t>TUE</t>
        </is>
      </c>
      <c r="D214">
        <f>IF(AND(W31!D9&lt;&gt;"",W31!D9&lt;&gt;"✗"),1,0)</f>
        <v/>
      </c>
      <c r="E214">
        <f>IF(AND(W31!D10&lt;&gt;"",W31!D10&lt;&gt;"✗"),1,0)</f>
        <v/>
      </c>
      <c r="F214">
        <f>IF(AND(W31!D11&lt;&gt;"",W31!D11&lt;&gt;"✗"),1,0)</f>
        <v/>
      </c>
      <c r="G214">
        <f>IF(AND(W31!D12&lt;&gt;"",W31!D12&lt;&gt;"✗"),1,0)</f>
        <v/>
      </c>
      <c r="H214">
        <f>IF(AND(W31!D13&lt;&gt;"",W31!D13&lt;&gt;"✗"),1,0)</f>
        <v/>
      </c>
      <c r="I214">
        <f>IF(AND(W31!D14&lt;&gt;"",W31!D14&lt;&gt;"✗"),1,0)</f>
        <v/>
      </c>
      <c r="J214">
        <f>IF(AND(W31!D15&lt;&gt;"",W31!D15&lt;&gt;"✗"),1,0)</f>
        <v/>
      </c>
      <c r="K214">
        <f>IF(AND(W31!D16&lt;&gt;"",W31!D16&lt;&gt;"✗"),1,0)</f>
        <v/>
      </c>
      <c r="L214">
        <f>IF(AND(W31!D17&lt;&gt;"",W31!D17&lt;&gt;"✗"),1,0)</f>
        <v/>
      </c>
      <c r="M214">
        <f>IF(AND(W31!D18&lt;&gt;"",W31!D18&lt;&gt;"✗"),1,0)</f>
        <v/>
      </c>
      <c r="O214">
        <f>IF(D214=1,O213+1,0)</f>
        <v/>
      </c>
      <c r="P214">
        <f>IF(E214=1,P213+1,0)</f>
        <v/>
      </c>
      <c r="Q214">
        <f>IF(F214=1,Q213+1,0)</f>
        <v/>
      </c>
      <c r="R214">
        <f>IF(G214=1,R213+1,0)</f>
        <v/>
      </c>
      <c r="S214">
        <f>IF(H214=1,S213+1,0)</f>
        <v/>
      </c>
      <c r="T214">
        <f>IF(I214=1,T213+1,0)</f>
        <v/>
      </c>
      <c r="U214">
        <f>IF(J214=1,U213+1,0)</f>
        <v/>
      </c>
      <c r="V214">
        <f>IF(K214=1,V213+1,0)</f>
        <v/>
      </c>
      <c r="W214">
        <f>IF(L214=1,W213+1,0)</f>
        <v/>
      </c>
      <c r="X214">
        <f>IF(M214=1,X213+1,0)</f>
        <v/>
      </c>
    </row>
    <row r="215">
      <c r="A215" s="58">
        <f>'Start Here'!$E$6+212</f>
        <v/>
      </c>
      <c r="B215" t="n">
        <v>31</v>
      </c>
      <c r="C215" t="inlineStr">
        <is>
          <t>WED</t>
        </is>
      </c>
      <c r="D215">
        <f>IF(AND(W31!E9&lt;&gt;"",W31!E9&lt;&gt;"✗"),1,0)</f>
        <v/>
      </c>
      <c r="E215">
        <f>IF(AND(W31!E10&lt;&gt;"",W31!E10&lt;&gt;"✗"),1,0)</f>
        <v/>
      </c>
      <c r="F215">
        <f>IF(AND(W31!E11&lt;&gt;"",W31!E11&lt;&gt;"✗"),1,0)</f>
        <v/>
      </c>
      <c r="G215">
        <f>IF(AND(W31!E12&lt;&gt;"",W31!E12&lt;&gt;"✗"),1,0)</f>
        <v/>
      </c>
      <c r="H215">
        <f>IF(AND(W31!E13&lt;&gt;"",W31!E13&lt;&gt;"✗"),1,0)</f>
        <v/>
      </c>
      <c r="I215">
        <f>IF(AND(W31!E14&lt;&gt;"",W31!E14&lt;&gt;"✗"),1,0)</f>
        <v/>
      </c>
      <c r="J215">
        <f>IF(AND(W31!E15&lt;&gt;"",W31!E15&lt;&gt;"✗"),1,0)</f>
        <v/>
      </c>
      <c r="K215">
        <f>IF(AND(W31!E16&lt;&gt;"",W31!E16&lt;&gt;"✗"),1,0)</f>
        <v/>
      </c>
      <c r="L215">
        <f>IF(AND(W31!E17&lt;&gt;"",W31!E17&lt;&gt;"✗"),1,0)</f>
        <v/>
      </c>
      <c r="M215">
        <f>IF(AND(W31!E18&lt;&gt;"",W31!E18&lt;&gt;"✗"),1,0)</f>
        <v/>
      </c>
      <c r="O215">
        <f>IF(D215=1,O214+1,0)</f>
        <v/>
      </c>
      <c r="P215">
        <f>IF(E215=1,P214+1,0)</f>
        <v/>
      </c>
      <c r="Q215">
        <f>IF(F215=1,Q214+1,0)</f>
        <v/>
      </c>
      <c r="R215">
        <f>IF(G215=1,R214+1,0)</f>
        <v/>
      </c>
      <c r="S215">
        <f>IF(H215=1,S214+1,0)</f>
        <v/>
      </c>
      <c r="T215">
        <f>IF(I215=1,T214+1,0)</f>
        <v/>
      </c>
      <c r="U215">
        <f>IF(J215=1,U214+1,0)</f>
        <v/>
      </c>
      <c r="V215">
        <f>IF(K215=1,V214+1,0)</f>
        <v/>
      </c>
      <c r="W215">
        <f>IF(L215=1,W214+1,0)</f>
        <v/>
      </c>
      <c r="X215">
        <f>IF(M215=1,X214+1,0)</f>
        <v/>
      </c>
    </row>
    <row r="216">
      <c r="A216" s="58">
        <f>'Start Here'!$E$6+213</f>
        <v/>
      </c>
      <c r="B216" t="n">
        <v>31</v>
      </c>
      <c r="C216" t="inlineStr">
        <is>
          <t>THU</t>
        </is>
      </c>
      <c r="D216">
        <f>IF(AND(W31!F9&lt;&gt;"",W31!F9&lt;&gt;"✗"),1,0)</f>
        <v/>
      </c>
      <c r="E216">
        <f>IF(AND(W31!F10&lt;&gt;"",W31!F10&lt;&gt;"✗"),1,0)</f>
        <v/>
      </c>
      <c r="F216">
        <f>IF(AND(W31!F11&lt;&gt;"",W31!F11&lt;&gt;"✗"),1,0)</f>
        <v/>
      </c>
      <c r="G216">
        <f>IF(AND(W31!F12&lt;&gt;"",W31!F12&lt;&gt;"✗"),1,0)</f>
        <v/>
      </c>
      <c r="H216">
        <f>IF(AND(W31!F13&lt;&gt;"",W31!F13&lt;&gt;"✗"),1,0)</f>
        <v/>
      </c>
      <c r="I216">
        <f>IF(AND(W31!F14&lt;&gt;"",W31!F14&lt;&gt;"✗"),1,0)</f>
        <v/>
      </c>
      <c r="J216">
        <f>IF(AND(W31!F15&lt;&gt;"",W31!F15&lt;&gt;"✗"),1,0)</f>
        <v/>
      </c>
      <c r="K216">
        <f>IF(AND(W31!F16&lt;&gt;"",W31!F16&lt;&gt;"✗"),1,0)</f>
        <v/>
      </c>
      <c r="L216">
        <f>IF(AND(W31!F17&lt;&gt;"",W31!F17&lt;&gt;"✗"),1,0)</f>
        <v/>
      </c>
      <c r="M216">
        <f>IF(AND(W31!F18&lt;&gt;"",W31!F18&lt;&gt;"✗"),1,0)</f>
        <v/>
      </c>
      <c r="O216">
        <f>IF(D216=1,O215+1,0)</f>
        <v/>
      </c>
      <c r="P216">
        <f>IF(E216=1,P215+1,0)</f>
        <v/>
      </c>
      <c r="Q216">
        <f>IF(F216=1,Q215+1,0)</f>
        <v/>
      </c>
      <c r="R216">
        <f>IF(G216=1,R215+1,0)</f>
        <v/>
      </c>
      <c r="S216">
        <f>IF(H216=1,S215+1,0)</f>
        <v/>
      </c>
      <c r="T216">
        <f>IF(I216=1,T215+1,0)</f>
        <v/>
      </c>
      <c r="U216">
        <f>IF(J216=1,U215+1,0)</f>
        <v/>
      </c>
      <c r="V216">
        <f>IF(K216=1,V215+1,0)</f>
        <v/>
      </c>
      <c r="W216">
        <f>IF(L216=1,W215+1,0)</f>
        <v/>
      </c>
      <c r="X216">
        <f>IF(M216=1,X215+1,0)</f>
        <v/>
      </c>
    </row>
    <row r="217">
      <c r="A217" s="58">
        <f>'Start Here'!$E$6+214</f>
        <v/>
      </c>
      <c r="B217" t="n">
        <v>31</v>
      </c>
      <c r="C217" t="inlineStr">
        <is>
          <t>FRI</t>
        </is>
      </c>
      <c r="D217">
        <f>IF(AND(W31!G9&lt;&gt;"",W31!G9&lt;&gt;"✗"),1,0)</f>
        <v/>
      </c>
      <c r="E217">
        <f>IF(AND(W31!G10&lt;&gt;"",W31!G10&lt;&gt;"✗"),1,0)</f>
        <v/>
      </c>
      <c r="F217">
        <f>IF(AND(W31!G11&lt;&gt;"",W31!G11&lt;&gt;"✗"),1,0)</f>
        <v/>
      </c>
      <c r="G217">
        <f>IF(AND(W31!G12&lt;&gt;"",W31!G12&lt;&gt;"✗"),1,0)</f>
        <v/>
      </c>
      <c r="H217">
        <f>IF(AND(W31!G13&lt;&gt;"",W31!G13&lt;&gt;"✗"),1,0)</f>
        <v/>
      </c>
      <c r="I217">
        <f>IF(AND(W31!G14&lt;&gt;"",W31!G14&lt;&gt;"✗"),1,0)</f>
        <v/>
      </c>
      <c r="J217">
        <f>IF(AND(W31!G15&lt;&gt;"",W31!G15&lt;&gt;"✗"),1,0)</f>
        <v/>
      </c>
      <c r="K217">
        <f>IF(AND(W31!G16&lt;&gt;"",W31!G16&lt;&gt;"✗"),1,0)</f>
        <v/>
      </c>
      <c r="L217">
        <f>IF(AND(W31!G17&lt;&gt;"",W31!G17&lt;&gt;"✗"),1,0)</f>
        <v/>
      </c>
      <c r="M217">
        <f>IF(AND(W31!G18&lt;&gt;"",W31!G18&lt;&gt;"✗"),1,0)</f>
        <v/>
      </c>
      <c r="O217">
        <f>IF(D217=1,O216+1,0)</f>
        <v/>
      </c>
      <c r="P217">
        <f>IF(E217=1,P216+1,0)</f>
        <v/>
      </c>
      <c r="Q217">
        <f>IF(F217=1,Q216+1,0)</f>
        <v/>
      </c>
      <c r="R217">
        <f>IF(G217=1,R216+1,0)</f>
        <v/>
      </c>
      <c r="S217">
        <f>IF(H217=1,S216+1,0)</f>
        <v/>
      </c>
      <c r="T217">
        <f>IF(I217=1,T216+1,0)</f>
        <v/>
      </c>
      <c r="U217">
        <f>IF(J217=1,U216+1,0)</f>
        <v/>
      </c>
      <c r="V217">
        <f>IF(K217=1,V216+1,0)</f>
        <v/>
      </c>
      <c r="W217">
        <f>IF(L217=1,W216+1,0)</f>
        <v/>
      </c>
      <c r="X217">
        <f>IF(M217=1,X216+1,0)</f>
        <v/>
      </c>
    </row>
    <row r="218">
      <c r="A218" s="58">
        <f>'Start Here'!$E$6+215</f>
        <v/>
      </c>
      <c r="B218" t="n">
        <v>31</v>
      </c>
      <c r="C218" t="inlineStr">
        <is>
          <t>SAT</t>
        </is>
      </c>
      <c r="D218">
        <f>IF(AND(W31!H9&lt;&gt;"",W31!H9&lt;&gt;"✗"),1,0)</f>
        <v/>
      </c>
      <c r="E218">
        <f>IF(AND(W31!H10&lt;&gt;"",W31!H10&lt;&gt;"✗"),1,0)</f>
        <v/>
      </c>
      <c r="F218">
        <f>IF(AND(W31!H11&lt;&gt;"",W31!H11&lt;&gt;"✗"),1,0)</f>
        <v/>
      </c>
      <c r="G218">
        <f>IF(AND(W31!H12&lt;&gt;"",W31!H12&lt;&gt;"✗"),1,0)</f>
        <v/>
      </c>
      <c r="H218">
        <f>IF(AND(W31!H13&lt;&gt;"",W31!H13&lt;&gt;"✗"),1,0)</f>
        <v/>
      </c>
      <c r="I218">
        <f>IF(AND(W31!H14&lt;&gt;"",W31!H14&lt;&gt;"✗"),1,0)</f>
        <v/>
      </c>
      <c r="J218">
        <f>IF(AND(W31!H15&lt;&gt;"",W31!H15&lt;&gt;"✗"),1,0)</f>
        <v/>
      </c>
      <c r="K218">
        <f>IF(AND(W31!H16&lt;&gt;"",W31!H16&lt;&gt;"✗"),1,0)</f>
        <v/>
      </c>
      <c r="L218">
        <f>IF(AND(W31!H17&lt;&gt;"",W31!H17&lt;&gt;"✗"),1,0)</f>
        <v/>
      </c>
      <c r="M218">
        <f>IF(AND(W31!H18&lt;&gt;"",W31!H18&lt;&gt;"✗"),1,0)</f>
        <v/>
      </c>
      <c r="O218">
        <f>IF(D218=1,O217+1,0)</f>
        <v/>
      </c>
      <c r="P218">
        <f>IF(E218=1,P217+1,0)</f>
        <v/>
      </c>
      <c r="Q218">
        <f>IF(F218=1,Q217+1,0)</f>
        <v/>
      </c>
      <c r="R218">
        <f>IF(G218=1,R217+1,0)</f>
        <v/>
      </c>
      <c r="S218">
        <f>IF(H218=1,S217+1,0)</f>
        <v/>
      </c>
      <c r="T218">
        <f>IF(I218=1,T217+1,0)</f>
        <v/>
      </c>
      <c r="U218">
        <f>IF(J218=1,U217+1,0)</f>
        <v/>
      </c>
      <c r="V218">
        <f>IF(K218=1,V217+1,0)</f>
        <v/>
      </c>
      <c r="W218">
        <f>IF(L218=1,W217+1,0)</f>
        <v/>
      </c>
      <c r="X218">
        <f>IF(M218=1,X217+1,0)</f>
        <v/>
      </c>
    </row>
    <row r="219">
      <c r="A219" s="58">
        <f>'Start Here'!$E$6+216</f>
        <v/>
      </c>
      <c r="B219" t="n">
        <v>31</v>
      </c>
      <c r="C219" t="inlineStr">
        <is>
          <t>SUN</t>
        </is>
      </c>
      <c r="D219">
        <f>IF(AND(W31!I9&lt;&gt;"",W31!I9&lt;&gt;"✗"),1,0)</f>
        <v/>
      </c>
      <c r="E219">
        <f>IF(AND(W31!I10&lt;&gt;"",W31!I10&lt;&gt;"✗"),1,0)</f>
        <v/>
      </c>
      <c r="F219">
        <f>IF(AND(W31!I11&lt;&gt;"",W31!I11&lt;&gt;"✗"),1,0)</f>
        <v/>
      </c>
      <c r="G219">
        <f>IF(AND(W31!I12&lt;&gt;"",W31!I12&lt;&gt;"✗"),1,0)</f>
        <v/>
      </c>
      <c r="H219">
        <f>IF(AND(W31!I13&lt;&gt;"",W31!I13&lt;&gt;"✗"),1,0)</f>
        <v/>
      </c>
      <c r="I219">
        <f>IF(AND(W31!I14&lt;&gt;"",W31!I14&lt;&gt;"✗"),1,0)</f>
        <v/>
      </c>
      <c r="J219">
        <f>IF(AND(W31!I15&lt;&gt;"",W31!I15&lt;&gt;"✗"),1,0)</f>
        <v/>
      </c>
      <c r="K219">
        <f>IF(AND(W31!I16&lt;&gt;"",W31!I16&lt;&gt;"✗"),1,0)</f>
        <v/>
      </c>
      <c r="L219">
        <f>IF(AND(W31!I17&lt;&gt;"",W31!I17&lt;&gt;"✗"),1,0)</f>
        <v/>
      </c>
      <c r="M219">
        <f>IF(AND(W31!I18&lt;&gt;"",W31!I18&lt;&gt;"✗"),1,0)</f>
        <v/>
      </c>
      <c r="O219">
        <f>IF(D219=1,O218+1,0)</f>
        <v/>
      </c>
      <c r="P219">
        <f>IF(E219=1,P218+1,0)</f>
        <v/>
      </c>
      <c r="Q219">
        <f>IF(F219=1,Q218+1,0)</f>
        <v/>
      </c>
      <c r="R219">
        <f>IF(G219=1,R218+1,0)</f>
        <v/>
      </c>
      <c r="S219">
        <f>IF(H219=1,S218+1,0)</f>
        <v/>
      </c>
      <c r="T219">
        <f>IF(I219=1,T218+1,0)</f>
        <v/>
      </c>
      <c r="U219">
        <f>IF(J219=1,U218+1,0)</f>
        <v/>
      </c>
      <c r="V219">
        <f>IF(K219=1,V218+1,0)</f>
        <v/>
      </c>
      <c r="W219">
        <f>IF(L219=1,W218+1,0)</f>
        <v/>
      </c>
      <c r="X219">
        <f>IF(M219=1,X218+1,0)</f>
        <v/>
      </c>
    </row>
    <row r="220">
      <c r="A220" s="58">
        <f>'Start Here'!$E$6+217</f>
        <v/>
      </c>
      <c r="B220" t="n">
        <v>32</v>
      </c>
      <c r="C220" t="inlineStr">
        <is>
          <t>MON</t>
        </is>
      </c>
      <c r="D220">
        <f>IF(AND(W32!C9&lt;&gt;"",W32!C9&lt;&gt;"✗"),1,0)</f>
        <v/>
      </c>
      <c r="E220">
        <f>IF(AND(W32!C10&lt;&gt;"",W32!C10&lt;&gt;"✗"),1,0)</f>
        <v/>
      </c>
      <c r="F220">
        <f>IF(AND(W32!C11&lt;&gt;"",W32!C11&lt;&gt;"✗"),1,0)</f>
        <v/>
      </c>
      <c r="G220">
        <f>IF(AND(W32!C12&lt;&gt;"",W32!C12&lt;&gt;"✗"),1,0)</f>
        <v/>
      </c>
      <c r="H220">
        <f>IF(AND(W32!C13&lt;&gt;"",W32!C13&lt;&gt;"✗"),1,0)</f>
        <v/>
      </c>
      <c r="I220">
        <f>IF(AND(W32!C14&lt;&gt;"",W32!C14&lt;&gt;"✗"),1,0)</f>
        <v/>
      </c>
      <c r="J220">
        <f>IF(AND(W32!C15&lt;&gt;"",W32!C15&lt;&gt;"✗"),1,0)</f>
        <v/>
      </c>
      <c r="K220">
        <f>IF(AND(W32!C16&lt;&gt;"",W32!C16&lt;&gt;"✗"),1,0)</f>
        <v/>
      </c>
      <c r="L220">
        <f>IF(AND(W32!C17&lt;&gt;"",W32!C17&lt;&gt;"✗"),1,0)</f>
        <v/>
      </c>
      <c r="M220">
        <f>IF(AND(W32!C18&lt;&gt;"",W32!C18&lt;&gt;"✗"),1,0)</f>
        <v/>
      </c>
      <c r="O220">
        <f>IF(D220=1,O219+1,0)</f>
        <v/>
      </c>
      <c r="P220">
        <f>IF(E220=1,P219+1,0)</f>
        <v/>
      </c>
      <c r="Q220">
        <f>IF(F220=1,Q219+1,0)</f>
        <v/>
      </c>
      <c r="R220">
        <f>IF(G220=1,R219+1,0)</f>
        <v/>
      </c>
      <c r="S220">
        <f>IF(H220=1,S219+1,0)</f>
        <v/>
      </c>
      <c r="T220">
        <f>IF(I220=1,T219+1,0)</f>
        <v/>
      </c>
      <c r="U220">
        <f>IF(J220=1,U219+1,0)</f>
        <v/>
      </c>
      <c r="V220">
        <f>IF(K220=1,V219+1,0)</f>
        <v/>
      </c>
      <c r="W220">
        <f>IF(L220=1,W219+1,0)</f>
        <v/>
      </c>
      <c r="X220">
        <f>IF(M220=1,X219+1,0)</f>
        <v/>
      </c>
    </row>
    <row r="221">
      <c r="A221" s="58">
        <f>'Start Here'!$E$6+218</f>
        <v/>
      </c>
      <c r="B221" t="n">
        <v>32</v>
      </c>
      <c r="C221" t="inlineStr">
        <is>
          <t>TUE</t>
        </is>
      </c>
      <c r="D221">
        <f>IF(AND(W32!D9&lt;&gt;"",W32!D9&lt;&gt;"✗"),1,0)</f>
        <v/>
      </c>
      <c r="E221">
        <f>IF(AND(W32!D10&lt;&gt;"",W32!D10&lt;&gt;"✗"),1,0)</f>
        <v/>
      </c>
      <c r="F221">
        <f>IF(AND(W32!D11&lt;&gt;"",W32!D11&lt;&gt;"✗"),1,0)</f>
        <v/>
      </c>
      <c r="G221">
        <f>IF(AND(W32!D12&lt;&gt;"",W32!D12&lt;&gt;"✗"),1,0)</f>
        <v/>
      </c>
      <c r="H221">
        <f>IF(AND(W32!D13&lt;&gt;"",W32!D13&lt;&gt;"✗"),1,0)</f>
        <v/>
      </c>
      <c r="I221">
        <f>IF(AND(W32!D14&lt;&gt;"",W32!D14&lt;&gt;"✗"),1,0)</f>
        <v/>
      </c>
      <c r="J221">
        <f>IF(AND(W32!D15&lt;&gt;"",W32!D15&lt;&gt;"✗"),1,0)</f>
        <v/>
      </c>
      <c r="K221">
        <f>IF(AND(W32!D16&lt;&gt;"",W32!D16&lt;&gt;"✗"),1,0)</f>
        <v/>
      </c>
      <c r="L221">
        <f>IF(AND(W32!D17&lt;&gt;"",W32!D17&lt;&gt;"✗"),1,0)</f>
        <v/>
      </c>
      <c r="M221">
        <f>IF(AND(W32!D18&lt;&gt;"",W32!D18&lt;&gt;"✗"),1,0)</f>
        <v/>
      </c>
      <c r="O221">
        <f>IF(D221=1,O220+1,0)</f>
        <v/>
      </c>
      <c r="P221">
        <f>IF(E221=1,P220+1,0)</f>
        <v/>
      </c>
      <c r="Q221">
        <f>IF(F221=1,Q220+1,0)</f>
        <v/>
      </c>
      <c r="R221">
        <f>IF(G221=1,R220+1,0)</f>
        <v/>
      </c>
      <c r="S221">
        <f>IF(H221=1,S220+1,0)</f>
        <v/>
      </c>
      <c r="T221">
        <f>IF(I221=1,T220+1,0)</f>
        <v/>
      </c>
      <c r="U221">
        <f>IF(J221=1,U220+1,0)</f>
        <v/>
      </c>
      <c r="V221">
        <f>IF(K221=1,V220+1,0)</f>
        <v/>
      </c>
      <c r="W221">
        <f>IF(L221=1,W220+1,0)</f>
        <v/>
      </c>
      <c r="X221">
        <f>IF(M221=1,X220+1,0)</f>
        <v/>
      </c>
    </row>
    <row r="222">
      <c r="A222" s="58">
        <f>'Start Here'!$E$6+219</f>
        <v/>
      </c>
      <c r="B222" t="n">
        <v>32</v>
      </c>
      <c r="C222" t="inlineStr">
        <is>
          <t>WED</t>
        </is>
      </c>
      <c r="D222">
        <f>IF(AND(W32!E9&lt;&gt;"",W32!E9&lt;&gt;"✗"),1,0)</f>
        <v/>
      </c>
      <c r="E222">
        <f>IF(AND(W32!E10&lt;&gt;"",W32!E10&lt;&gt;"✗"),1,0)</f>
        <v/>
      </c>
      <c r="F222">
        <f>IF(AND(W32!E11&lt;&gt;"",W32!E11&lt;&gt;"✗"),1,0)</f>
        <v/>
      </c>
      <c r="G222">
        <f>IF(AND(W32!E12&lt;&gt;"",W32!E12&lt;&gt;"✗"),1,0)</f>
        <v/>
      </c>
      <c r="H222">
        <f>IF(AND(W32!E13&lt;&gt;"",W32!E13&lt;&gt;"✗"),1,0)</f>
        <v/>
      </c>
      <c r="I222">
        <f>IF(AND(W32!E14&lt;&gt;"",W32!E14&lt;&gt;"✗"),1,0)</f>
        <v/>
      </c>
      <c r="J222">
        <f>IF(AND(W32!E15&lt;&gt;"",W32!E15&lt;&gt;"✗"),1,0)</f>
        <v/>
      </c>
      <c r="K222">
        <f>IF(AND(W32!E16&lt;&gt;"",W32!E16&lt;&gt;"✗"),1,0)</f>
        <v/>
      </c>
      <c r="L222">
        <f>IF(AND(W32!E17&lt;&gt;"",W32!E17&lt;&gt;"✗"),1,0)</f>
        <v/>
      </c>
      <c r="M222">
        <f>IF(AND(W32!E18&lt;&gt;"",W32!E18&lt;&gt;"✗"),1,0)</f>
        <v/>
      </c>
      <c r="O222">
        <f>IF(D222=1,O221+1,0)</f>
        <v/>
      </c>
      <c r="P222">
        <f>IF(E222=1,P221+1,0)</f>
        <v/>
      </c>
      <c r="Q222">
        <f>IF(F222=1,Q221+1,0)</f>
        <v/>
      </c>
      <c r="R222">
        <f>IF(G222=1,R221+1,0)</f>
        <v/>
      </c>
      <c r="S222">
        <f>IF(H222=1,S221+1,0)</f>
        <v/>
      </c>
      <c r="T222">
        <f>IF(I222=1,T221+1,0)</f>
        <v/>
      </c>
      <c r="U222">
        <f>IF(J222=1,U221+1,0)</f>
        <v/>
      </c>
      <c r="V222">
        <f>IF(K222=1,V221+1,0)</f>
        <v/>
      </c>
      <c r="W222">
        <f>IF(L222=1,W221+1,0)</f>
        <v/>
      </c>
      <c r="X222">
        <f>IF(M222=1,X221+1,0)</f>
        <v/>
      </c>
    </row>
    <row r="223">
      <c r="A223" s="58">
        <f>'Start Here'!$E$6+220</f>
        <v/>
      </c>
      <c r="B223" t="n">
        <v>32</v>
      </c>
      <c r="C223" t="inlineStr">
        <is>
          <t>THU</t>
        </is>
      </c>
      <c r="D223">
        <f>IF(AND(W32!F9&lt;&gt;"",W32!F9&lt;&gt;"✗"),1,0)</f>
        <v/>
      </c>
      <c r="E223">
        <f>IF(AND(W32!F10&lt;&gt;"",W32!F10&lt;&gt;"✗"),1,0)</f>
        <v/>
      </c>
      <c r="F223">
        <f>IF(AND(W32!F11&lt;&gt;"",W32!F11&lt;&gt;"✗"),1,0)</f>
        <v/>
      </c>
      <c r="G223">
        <f>IF(AND(W32!F12&lt;&gt;"",W32!F12&lt;&gt;"✗"),1,0)</f>
        <v/>
      </c>
      <c r="H223">
        <f>IF(AND(W32!F13&lt;&gt;"",W32!F13&lt;&gt;"✗"),1,0)</f>
        <v/>
      </c>
      <c r="I223">
        <f>IF(AND(W32!F14&lt;&gt;"",W32!F14&lt;&gt;"✗"),1,0)</f>
        <v/>
      </c>
      <c r="J223">
        <f>IF(AND(W32!F15&lt;&gt;"",W32!F15&lt;&gt;"✗"),1,0)</f>
        <v/>
      </c>
      <c r="K223">
        <f>IF(AND(W32!F16&lt;&gt;"",W32!F16&lt;&gt;"✗"),1,0)</f>
        <v/>
      </c>
      <c r="L223">
        <f>IF(AND(W32!F17&lt;&gt;"",W32!F17&lt;&gt;"✗"),1,0)</f>
        <v/>
      </c>
      <c r="M223">
        <f>IF(AND(W32!F18&lt;&gt;"",W32!F18&lt;&gt;"✗"),1,0)</f>
        <v/>
      </c>
      <c r="O223">
        <f>IF(D223=1,O222+1,0)</f>
        <v/>
      </c>
      <c r="P223">
        <f>IF(E223=1,P222+1,0)</f>
        <v/>
      </c>
      <c r="Q223">
        <f>IF(F223=1,Q222+1,0)</f>
        <v/>
      </c>
      <c r="R223">
        <f>IF(G223=1,R222+1,0)</f>
        <v/>
      </c>
      <c r="S223">
        <f>IF(H223=1,S222+1,0)</f>
        <v/>
      </c>
      <c r="T223">
        <f>IF(I223=1,T222+1,0)</f>
        <v/>
      </c>
      <c r="U223">
        <f>IF(J223=1,U222+1,0)</f>
        <v/>
      </c>
      <c r="V223">
        <f>IF(K223=1,V222+1,0)</f>
        <v/>
      </c>
      <c r="W223">
        <f>IF(L223=1,W222+1,0)</f>
        <v/>
      </c>
      <c r="X223">
        <f>IF(M223=1,X222+1,0)</f>
        <v/>
      </c>
    </row>
    <row r="224">
      <c r="A224" s="58">
        <f>'Start Here'!$E$6+221</f>
        <v/>
      </c>
      <c r="B224" t="n">
        <v>32</v>
      </c>
      <c r="C224" t="inlineStr">
        <is>
          <t>FRI</t>
        </is>
      </c>
      <c r="D224">
        <f>IF(AND(W32!G9&lt;&gt;"",W32!G9&lt;&gt;"✗"),1,0)</f>
        <v/>
      </c>
      <c r="E224">
        <f>IF(AND(W32!G10&lt;&gt;"",W32!G10&lt;&gt;"✗"),1,0)</f>
        <v/>
      </c>
      <c r="F224">
        <f>IF(AND(W32!G11&lt;&gt;"",W32!G11&lt;&gt;"✗"),1,0)</f>
        <v/>
      </c>
      <c r="G224">
        <f>IF(AND(W32!G12&lt;&gt;"",W32!G12&lt;&gt;"✗"),1,0)</f>
        <v/>
      </c>
      <c r="H224">
        <f>IF(AND(W32!G13&lt;&gt;"",W32!G13&lt;&gt;"✗"),1,0)</f>
        <v/>
      </c>
      <c r="I224">
        <f>IF(AND(W32!G14&lt;&gt;"",W32!G14&lt;&gt;"✗"),1,0)</f>
        <v/>
      </c>
      <c r="J224">
        <f>IF(AND(W32!G15&lt;&gt;"",W32!G15&lt;&gt;"✗"),1,0)</f>
        <v/>
      </c>
      <c r="K224">
        <f>IF(AND(W32!G16&lt;&gt;"",W32!G16&lt;&gt;"✗"),1,0)</f>
        <v/>
      </c>
      <c r="L224">
        <f>IF(AND(W32!G17&lt;&gt;"",W32!G17&lt;&gt;"✗"),1,0)</f>
        <v/>
      </c>
      <c r="M224">
        <f>IF(AND(W32!G18&lt;&gt;"",W32!G18&lt;&gt;"✗"),1,0)</f>
        <v/>
      </c>
      <c r="O224">
        <f>IF(D224=1,O223+1,0)</f>
        <v/>
      </c>
      <c r="P224">
        <f>IF(E224=1,P223+1,0)</f>
        <v/>
      </c>
      <c r="Q224">
        <f>IF(F224=1,Q223+1,0)</f>
        <v/>
      </c>
      <c r="R224">
        <f>IF(G224=1,R223+1,0)</f>
        <v/>
      </c>
      <c r="S224">
        <f>IF(H224=1,S223+1,0)</f>
        <v/>
      </c>
      <c r="T224">
        <f>IF(I224=1,T223+1,0)</f>
        <v/>
      </c>
      <c r="U224">
        <f>IF(J224=1,U223+1,0)</f>
        <v/>
      </c>
      <c r="V224">
        <f>IF(K224=1,V223+1,0)</f>
        <v/>
      </c>
      <c r="W224">
        <f>IF(L224=1,W223+1,0)</f>
        <v/>
      </c>
      <c r="X224">
        <f>IF(M224=1,X223+1,0)</f>
        <v/>
      </c>
    </row>
    <row r="225">
      <c r="A225" s="58">
        <f>'Start Here'!$E$6+222</f>
        <v/>
      </c>
      <c r="B225" t="n">
        <v>32</v>
      </c>
      <c r="C225" t="inlineStr">
        <is>
          <t>SAT</t>
        </is>
      </c>
      <c r="D225">
        <f>IF(AND(W32!H9&lt;&gt;"",W32!H9&lt;&gt;"✗"),1,0)</f>
        <v/>
      </c>
      <c r="E225">
        <f>IF(AND(W32!H10&lt;&gt;"",W32!H10&lt;&gt;"✗"),1,0)</f>
        <v/>
      </c>
      <c r="F225">
        <f>IF(AND(W32!H11&lt;&gt;"",W32!H11&lt;&gt;"✗"),1,0)</f>
        <v/>
      </c>
      <c r="G225">
        <f>IF(AND(W32!H12&lt;&gt;"",W32!H12&lt;&gt;"✗"),1,0)</f>
        <v/>
      </c>
      <c r="H225">
        <f>IF(AND(W32!H13&lt;&gt;"",W32!H13&lt;&gt;"✗"),1,0)</f>
        <v/>
      </c>
      <c r="I225">
        <f>IF(AND(W32!H14&lt;&gt;"",W32!H14&lt;&gt;"✗"),1,0)</f>
        <v/>
      </c>
      <c r="J225">
        <f>IF(AND(W32!H15&lt;&gt;"",W32!H15&lt;&gt;"✗"),1,0)</f>
        <v/>
      </c>
      <c r="K225">
        <f>IF(AND(W32!H16&lt;&gt;"",W32!H16&lt;&gt;"✗"),1,0)</f>
        <v/>
      </c>
      <c r="L225">
        <f>IF(AND(W32!H17&lt;&gt;"",W32!H17&lt;&gt;"✗"),1,0)</f>
        <v/>
      </c>
      <c r="M225">
        <f>IF(AND(W32!H18&lt;&gt;"",W32!H18&lt;&gt;"✗"),1,0)</f>
        <v/>
      </c>
      <c r="O225">
        <f>IF(D225=1,O224+1,0)</f>
        <v/>
      </c>
      <c r="P225">
        <f>IF(E225=1,P224+1,0)</f>
        <v/>
      </c>
      <c r="Q225">
        <f>IF(F225=1,Q224+1,0)</f>
        <v/>
      </c>
      <c r="R225">
        <f>IF(G225=1,R224+1,0)</f>
        <v/>
      </c>
      <c r="S225">
        <f>IF(H225=1,S224+1,0)</f>
        <v/>
      </c>
      <c r="T225">
        <f>IF(I225=1,T224+1,0)</f>
        <v/>
      </c>
      <c r="U225">
        <f>IF(J225=1,U224+1,0)</f>
        <v/>
      </c>
      <c r="V225">
        <f>IF(K225=1,V224+1,0)</f>
        <v/>
      </c>
      <c r="W225">
        <f>IF(L225=1,W224+1,0)</f>
        <v/>
      </c>
      <c r="X225">
        <f>IF(M225=1,X224+1,0)</f>
        <v/>
      </c>
    </row>
    <row r="226">
      <c r="A226" s="58">
        <f>'Start Here'!$E$6+223</f>
        <v/>
      </c>
      <c r="B226" t="n">
        <v>32</v>
      </c>
      <c r="C226" t="inlineStr">
        <is>
          <t>SUN</t>
        </is>
      </c>
      <c r="D226">
        <f>IF(AND(W32!I9&lt;&gt;"",W32!I9&lt;&gt;"✗"),1,0)</f>
        <v/>
      </c>
      <c r="E226">
        <f>IF(AND(W32!I10&lt;&gt;"",W32!I10&lt;&gt;"✗"),1,0)</f>
        <v/>
      </c>
      <c r="F226">
        <f>IF(AND(W32!I11&lt;&gt;"",W32!I11&lt;&gt;"✗"),1,0)</f>
        <v/>
      </c>
      <c r="G226">
        <f>IF(AND(W32!I12&lt;&gt;"",W32!I12&lt;&gt;"✗"),1,0)</f>
        <v/>
      </c>
      <c r="H226">
        <f>IF(AND(W32!I13&lt;&gt;"",W32!I13&lt;&gt;"✗"),1,0)</f>
        <v/>
      </c>
      <c r="I226">
        <f>IF(AND(W32!I14&lt;&gt;"",W32!I14&lt;&gt;"✗"),1,0)</f>
        <v/>
      </c>
      <c r="J226">
        <f>IF(AND(W32!I15&lt;&gt;"",W32!I15&lt;&gt;"✗"),1,0)</f>
        <v/>
      </c>
      <c r="K226">
        <f>IF(AND(W32!I16&lt;&gt;"",W32!I16&lt;&gt;"✗"),1,0)</f>
        <v/>
      </c>
      <c r="L226">
        <f>IF(AND(W32!I17&lt;&gt;"",W32!I17&lt;&gt;"✗"),1,0)</f>
        <v/>
      </c>
      <c r="M226">
        <f>IF(AND(W32!I18&lt;&gt;"",W32!I18&lt;&gt;"✗"),1,0)</f>
        <v/>
      </c>
      <c r="O226">
        <f>IF(D226=1,O225+1,0)</f>
        <v/>
      </c>
      <c r="P226">
        <f>IF(E226=1,P225+1,0)</f>
        <v/>
      </c>
      <c r="Q226">
        <f>IF(F226=1,Q225+1,0)</f>
        <v/>
      </c>
      <c r="R226">
        <f>IF(G226=1,R225+1,0)</f>
        <v/>
      </c>
      <c r="S226">
        <f>IF(H226=1,S225+1,0)</f>
        <v/>
      </c>
      <c r="T226">
        <f>IF(I226=1,T225+1,0)</f>
        <v/>
      </c>
      <c r="U226">
        <f>IF(J226=1,U225+1,0)</f>
        <v/>
      </c>
      <c r="V226">
        <f>IF(K226=1,V225+1,0)</f>
        <v/>
      </c>
      <c r="W226">
        <f>IF(L226=1,W225+1,0)</f>
        <v/>
      </c>
      <c r="X226">
        <f>IF(M226=1,X225+1,0)</f>
        <v/>
      </c>
    </row>
    <row r="227">
      <c r="A227" s="58">
        <f>'Start Here'!$E$6+224</f>
        <v/>
      </c>
      <c r="B227" t="n">
        <v>33</v>
      </c>
      <c r="C227" t="inlineStr">
        <is>
          <t>MON</t>
        </is>
      </c>
      <c r="D227">
        <f>IF(AND(W33!C9&lt;&gt;"",W33!C9&lt;&gt;"✗"),1,0)</f>
        <v/>
      </c>
      <c r="E227">
        <f>IF(AND(W33!C10&lt;&gt;"",W33!C10&lt;&gt;"✗"),1,0)</f>
        <v/>
      </c>
      <c r="F227">
        <f>IF(AND(W33!C11&lt;&gt;"",W33!C11&lt;&gt;"✗"),1,0)</f>
        <v/>
      </c>
      <c r="G227">
        <f>IF(AND(W33!C12&lt;&gt;"",W33!C12&lt;&gt;"✗"),1,0)</f>
        <v/>
      </c>
      <c r="H227">
        <f>IF(AND(W33!C13&lt;&gt;"",W33!C13&lt;&gt;"✗"),1,0)</f>
        <v/>
      </c>
      <c r="I227">
        <f>IF(AND(W33!C14&lt;&gt;"",W33!C14&lt;&gt;"✗"),1,0)</f>
        <v/>
      </c>
      <c r="J227">
        <f>IF(AND(W33!C15&lt;&gt;"",W33!C15&lt;&gt;"✗"),1,0)</f>
        <v/>
      </c>
      <c r="K227">
        <f>IF(AND(W33!C16&lt;&gt;"",W33!C16&lt;&gt;"✗"),1,0)</f>
        <v/>
      </c>
      <c r="L227">
        <f>IF(AND(W33!C17&lt;&gt;"",W33!C17&lt;&gt;"✗"),1,0)</f>
        <v/>
      </c>
      <c r="M227">
        <f>IF(AND(W33!C18&lt;&gt;"",W33!C18&lt;&gt;"✗"),1,0)</f>
        <v/>
      </c>
      <c r="O227">
        <f>IF(D227=1,O226+1,0)</f>
        <v/>
      </c>
      <c r="P227">
        <f>IF(E227=1,P226+1,0)</f>
        <v/>
      </c>
      <c r="Q227">
        <f>IF(F227=1,Q226+1,0)</f>
        <v/>
      </c>
      <c r="R227">
        <f>IF(G227=1,R226+1,0)</f>
        <v/>
      </c>
      <c r="S227">
        <f>IF(H227=1,S226+1,0)</f>
        <v/>
      </c>
      <c r="T227">
        <f>IF(I227=1,T226+1,0)</f>
        <v/>
      </c>
      <c r="U227">
        <f>IF(J227=1,U226+1,0)</f>
        <v/>
      </c>
      <c r="V227">
        <f>IF(K227=1,V226+1,0)</f>
        <v/>
      </c>
      <c r="W227">
        <f>IF(L227=1,W226+1,0)</f>
        <v/>
      </c>
      <c r="X227">
        <f>IF(M227=1,X226+1,0)</f>
        <v/>
      </c>
    </row>
    <row r="228">
      <c r="A228" s="58">
        <f>'Start Here'!$E$6+225</f>
        <v/>
      </c>
      <c r="B228" t="n">
        <v>33</v>
      </c>
      <c r="C228" t="inlineStr">
        <is>
          <t>TUE</t>
        </is>
      </c>
      <c r="D228">
        <f>IF(AND(W33!D9&lt;&gt;"",W33!D9&lt;&gt;"✗"),1,0)</f>
        <v/>
      </c>
      <c r="E228">
        <f>IF(AND(W33!D10&lt;&gt;"",W33!D10&lt;&gt;"✗"),1,0)</f>
        <v/>
      </c>
      <c r="F228">
        <f>IF(AND(W33!D11&lt;&gt;"",W33!D11&lt;&gt;"✗"),1,0)</f>
        <v/>
      </c>
      <c r="G228">
        <f>IF(AND(W33!D12&lt;&gt;"",W33!D12&lt;&gt;"✗"),1,0)</f>
        <v/>
      </c>
      <c r="H228">
        <f>IF(AND(W33!D13&lt;&gt;"",W33!D13&lt;&gt;"✗"),1,0)</f>
        <v/>
      </c>
      <c r="I228">
        <f>IF(AND(W33!D14&lt;&gt;"",W33!D14&lt;&gt;"✗"),1,0)</f>
        <v/>
      </c>
      <c r="J228">
        <f>IF(AND(W33!D15&lt;&gt;"",W33!D15&lt;&gt;"✗"),1,0)</f>
        <v/>
      </c>
      <c r="K228">
        <f>IF(AND(W33!D16&lt;&gt;"",W33!D16&lt;&gt;"✗"),1,0)</f>
        <v/>
      </c>
      <c r="L228">
        <f>IF(AND(W33!D17&lt;&gt;"",W33!D17&lt;&gt;"✗"),1,0)</f>
        <v/>
      </c>
      <c r="M228">
        <f>IF(AND(W33!D18&lt;&gt;"",W33!D18&lt;&gt;"✗"),1,0)</f>
        <v/>
      </c>
      <c r="O228">
        <f>IF(D228=1,O227+1,0)</f>
        <v/>
      </c>
      <c r="P228">
        <f>IF(E228=1,P227+1,0)</f>
        <v/>
      </c>
      <c r="Q228">
        <f>IF(F228=1,Q227+1,0)</f>
        <v/>
      </c>
      <c r="R228">
        <f>IF(G228=1,R227+1,0)</f>
        <v/>
      </c>
      <c r="S228">
        <f>IF(H228=1,S227+1,0)</f>
        <v/>
      </c>
      <c r="T228">
        <f>IF(I228=1,T227+1,0)</f>
        <v/>
      </c>
      <c r="U228">
        <f>IF(J228=1,U227+1,0)</f>
        <v/>
      </c>
      <c r="V228">
        <f>IF(K228=1,V227+1,0)</f>
        <v/>
      </c>
      <c r="W228">
        <f>IF(L228=1,W227+1,0)</f>
        <v/>
      </c>
      <c r="X228">
        <f>IF(M228=1,X227+1,0)</f>
        <v/>
      </c>
    </row>
    <row r="229">
      <c r="A229" s="58">
        <f>'Start Here'!$E$6+226</f>
        <v/>
      </c>
      <c r="B229" t="n">
        <v>33</v>
      </c>
      <c r="C229" t="inlineStr">
        <is>
          <t>WED</t>
        </is>
      </c>
      <c r="D229">
        <f>IF(AND(W33!E9&lt;&gt;"",W33!E9&lt;&gt;"✗"),1,0)</f>
        <v/>
      </c>
      <c r="E229">
        <f>IF(AND(W33!E10&lt;&gt;"",W33!E10&lt;&gt;"✗"),1,0)</f>
        <v/>
      </c>
      <c r="F229">
        <f>IF(AND(W33!E11&lt;&gt;"",W33!E11&lt;&gt;"✗"),1,0)</f>
        <v/>
      </c>
      <c r="G229">
        <f>IF(AND(W33!E12&lt;&gt;"",W33!E12&lt;&gt;"✗"),1,0)</f>
        <v/>
      </c>
      <c r="H229">
        <f>IF(AND(W33!E13&lt;&gt;"",W33!E13&lt;&gt;"✗"),1,0)</f>
        <v/>
      </c>
      <c r="I229">
        <f>IF(AND(W33!E14&lt;&gt;"",W33!E14&lt;&gt;"✗"),1,0)</f>
        <v/>
      </c>
      <c r="J229">
        <f>IF(AND(W33!E15&lt;&gt;"",W33!E15&lt;&gt;"✗"),1,0)</f>
        <v/>
      </c>
      <c r="K229">
        <f>IF(AND(W33!E16&lt;&gt;"",W33!E16&lt;&gt;"✗"),1,0)</f>
        <v/>
      </c>
      <c r="L229">
        <f>IF(AND(W33!E17&lt;&gt;"",W33!E17&lt;&gt;"✗"),1,0)</f>
        <v/>
      </c>
      <c r="M229">
        <f>IF(AND(W33!E18&lt;&gt;"",W33!E18&lt;&gt;"✗"),1,0)</f>
        <v/>
      </c>
      <c r="O229">
        <f>IF(D229=1,O228+1,0)</f>
        <v/>
      </c>
      <c r="P229">
        <f>IF(E229=1,P228+1,0)</f>
        <v/>
      </c>
      <c r="Q229">
        <f>IF(F229=1,Q228+1,0)</f>
        <v/>
      </c>
      <c r="R229">
        <f>IF(G229=1,R228+1,0)</f>
        <v/>
      </c>
      <c r="S229">
        <f>IF(H229=1,S228+1,0)</f>
        <v/>
      </c>
      <c r="T229">
        <f>IF(I229=1,T228+1,0)</f>
        <v/>
      </c>
      <c r="U229">
        <f>IF(J229=1,U228+1,0)</f>
        <v/>
      </c>
      <c r="V229">
        <f>IF(K229=1,V228+1,0)</f>
        <v/>
      </c>
      <c r="W229">
        <f>IF(L229=1,W228+1,0)</f>
        <v/>
      </c>
      <c r="X229">
        <f>IF(M229=1,X228+1,0)</f>
        <v/>
      </c>
    </row>
    <row r="230">
      <c r="A230" s="58">
        <f>'Start Here'!$E$6+227</f>
        <v/>
      </c>
      <c r="B230" t="n">
        <v>33</v>
      </c>
      <c r="C230" t="inlineStr">
        <is>
          <t>THU</t>
        </is>
      </c>
      <c r="D230">
        <f>IF(AND(W33!F9&lt;&gt;"",W33!F9&lt;&gt;"✗"),1,0)</f>
        <v/>
      </c>
      <c r="E230">
        <f>IF(AND(W33!F10&lt;&gt;"",W33!F10&lt;&gt;"✗"),1,0)</f>
        <v/>
      </c>
      <c r="F230">
        <f>IF(AND(W33!F11&lt;&gt;"",W33!F11&lt;&gt;"✗"),1,0)</f>
        <v/>
      </c>
      <c r="G230">
        <f>IF(AND(W33!F12&lt;&gt;"",W33!F12&lt;&gt;"✗"),1,0)</f>
        <v/>
      </c>
      <c r="H230">
        <f>IF(AND(W33!F13&lt;&gt;"",W33!F13&lt;&gt;"✗"),1,0)</f>
        <v/>
      </c>
      <c r="I230">
        <f>IF(AND(W33!F14&lt;&gt;"",W33!F14&lt;&gt;"✗"),1,0)</f>
        <v/>
      </c>
      <c r="J230">
        <f>IF(AND(W33!F15&lt;&gt;"",W33!F15&lt;&gt;"✗"),1,0)</f>
        <v/>
      </c>
      <c r="K230">
        <f>IF(AND(W33!F16&lt;&gt;"",W33!F16&lt;&gt;"✗"),1,0)</f>
        <v/>
      </c>
      <c r="L230">
        <f>IF(AND(W33!F17&lt;&gt;"",W33!F17&lt;&gt;"✗"),1,0)</f>
        <v/>
      </c>
      <c r="M230">
        <f>IF(AND(W33!F18&lt;&gt;"",W33!F18&lt;&gt;"✗"),1,0)</f>
        <v/>
      </c>
      <c r="O230">
        <f>IF(D230=1,O229+1,0)</f>
        <v/>
      </c>
      <c r="P230">
        <f>IF(E230=1,P229+1,0)</f>
        <v/>
      </c>
      <c r="Q230">
        <f>IF(F230=1,Q229+1,0)</f>
        <v/>
      </c>
      <c r="R230">
        <f>IF(G230=1,R229+1,0)</f>
        <v/>
      </c>
      <c r="S230">
        <f>IF(H230=1,S229+1,0)</f>
        <v/>
      </c>
      <c r="T230">
        <f>IF(I230=1,T229+1,0)</f>
        <v/>
      </c>
      <c r="U230">
        <f>IF(J230=1,U229+1,0)</f>
        <v/>
      </c>
      <c r="V230">
        <f>IF(K230=1,V229+1,0)</f>
        <v/>
      </c>
      <c r="W230">
        <f>IF(L230=1,W229+1,0)</f>
        <v/>
      </c>
      <c r="X230">
        <f>IF(M230=1,X229+1,0)</f>
        <v/>
      </c>
    </row>
    <row r="231">
      <c r="A231" s="58">
        <f>'Start Here'!$E$6+228</f>
        <v/>
      </c>
      <c r="B231" t="n">
        <v>33</v>
      </c>
      <c r="C231" t="inlineStr">
        <is>
          <t>FRI</t>
        </is>
      </c>
      <c r="D231">
        <f>IF(AND(W33!G9&lt;&gt;"",W33!G9&lt;&gt;"✗"),1,0)</f>
        <v/>
      </c>
      <c r="E231">
        <f>IF(AND(W33!G10&lt;&gt;"",W33!G10&lt;&gt;"✗"),1,0)</f>
        <v/>
      </c>
      <c r="F231">
        <f>IF(AND(W33!G11&lt;&gt;"",W33!G11&lt;&gt;"✗"),1,0)</f>
        <v/>
      </c>
      <c r="G231">
        <f>IF(AND(W33!G12&lt;&gt;"",W33!G12&lt;&gt;"✗"),1,0)</f>
        <v/>
      </c>
      <c r="H231">
        <f>IF(AND(W33!G13&lt;&gt;"",W33!G13&lt;&gt;"✗"),1,0)</f>
        <v/>
      </c>
      <c r="I231">
        <f>IF(AND(W33!G14&lt;&gt;"",W33!G14&lt;&gt;"✗"),1,0)</f>
        <v/>
      </c>
      <c r="J231">
        <f>IF(AND(W33!G15&lt;&gt;"",W33!G15&lt;&gt;"✗"),1,0)</f>
        <v/>
      </c>
      <c r="K231">
        <f>IF(AND(W33!G16&lt;&gt;"",W33!G16&lt;&gt;"✗"),1,0)</f>
        <v/>
      </c>
      <c r="L231">
        <f>IF(AND(W33!G17&lt;&gt;"",W33!G17&lt;&gt;"✗"),1,0)</f>
        <v/>
      </c>
      <c r="M231">
        <f>IF(AND(W33!G18&lt;&gt;"",W33!G18&lt;&gt;"✗"),1,0)</f>
        <v/>
      </c>
      <c r="O231">
        <f>IF(D231=1,O230+1,0)</f>
        <v/>
      </c>
      <c r="P231">
        <f>IF(E231=1,P230+1,0)</f>
        <v/>
      </c>
      <c r="Q231">
        <f>IF(F231=1,Q230+1,0)</f>
        <v/>
      </c>
      <c r="R231">
        <f>IF(G231=1,R230+1,0)</f>
        <v/>
      </c>
      <c r="S231">
        <f>IF(H231=1,S230+1,0)</f>
        <v/>
      </c>
      <c r="T231">
        <f>IF(I231=1,T230+1,0)</f>
        <v/>
      </c>
      <c r="U231">
        <f>IF(J231=1,U230+1,0)</f>
        <v/>
      </c>
      <c r="V231">
        <f>IF(K231=1,V230+1,0)</f>
        <v/>
      </c>
      <c r="W231">
        <f>IF(L231=1,W230+1,0)</f>
        <v/>
      </c>
      <c r="X231">
        <f>IF(M231=1,X230+1,0)</f>
        <v/>
      </c>
    </row>
    <row r="232">
      <c r="A232" s="58">
        <f>'Start Here'!$E$6+229</f>
        <v/>
      </c>
      <c r="B232" t="n">
        <v>33</v>
      </c>
      <c r="C232" t="inlineStr">
        <is>
          <t>SAT</t>
        </is>
      </c>
      <c r="D232">
        <f>IF(AND(W33!H9&lt;&gt;"",W33!H9&lt;&gt;"✗"),1,0)</f>
        <v/>
      </c>
      <c r="E232">
        <f>IF(AND(W33!H10&lt;&gt;"",W33!H10&lt;&gt;"✗"),1,0)</f>
        <v/>
      </c>
      <c r="F232">
        <f>IF(AND(W33!H11&lt;&gt;"",W33!H11&lt;&gt;"✗"),1,0)</f>
        <v/>
      </c>
      <c r="G232">
        <f>IF(AND(W33!H12&lt;&gt;"",W33!H12&lt;&gt;"✗"),1,0)</f>
        <v/>
      </c>
      <c r="H232">
        <f>IF(AND(W33!H13&lt;&gt;"",W33!H13&lt;&gt;"✗"),1,0)</f>
        <v/>
      </c>
      <c r="I232">
        <f>IF(AND(W33!H14&lt;&gt;"",W33!H14&lt;&gt;"✗"),1,0)</f>
        <v/>
      </c>
      <c r="J232">
        <f>IF(AND(W33!H15&lt;&gt;"",W33!H15&lt;&gt;"✗"),1,0)</f>
        <v/>
      </c>
      <c r="K232">
        <f>IF(AND(W33!H16&lt;&gt;"",W33!H16&lt;&gt;"✗"),1,0)</f>
        <v/>
      </c>
      <c r="L232">
        <f>IF(AND(W33!H17&lt;&gt;"",W33!H17&lt;&gt;"✗"),1,0)</f>
        <v/>
      </c>
      <c r="M232">
        <f>IF(AND(W33!H18&lt;&gt;"",W33!H18&lt;&gt;"✗"),1,0)</f>
        <v/>
      </c>
      <c r="O232">
        <f>IF(D232=1,O231+1,0)</f>
        <v/>
      </c>
      <c r="P232">
        <f>IF(E232=1,P231+1,0)</f>
        <v/>
      </c>
      <c r="Q232">
        <f>IF(F232=1,Q231+1,0)</f>
        <v/>
      </c>
      <c r="R232">
        <f>IF(G232=1,R231+1,0)</f>
        <v/>
      </c>
      <c r="S232">
        <f>IF(H232=1,S231+1,0)</f>
        <v/>
      </c>
      <c r="T232">
        <f>IF(I232=1,T231+1,0)</f>
        <v/>
      </c>
      <c r="U232">
        <f>IF(J232=1,U231+1,0)</f>
        <v/>
      </c>
      <c r="V232">
        <f>IF(K232=1,V231+1,0)</f>
        <v/>
      </c>
      <c r="W232">
        <f>IF(L232=1,W231+1,0)</f>
        <v/>
      </c>
      <c r="X232">
        <f>IF(M232=1,X231+1,0)</f>
        <v/>
      </c>
    </row>
    <row r="233">
      <c r="A233" s="58">
        <f>'Start Here'!$E$6+230</f>
        <v/>
      </c>
      <c r="B233" t="n">
        <v>33</v>
      </c>
      <c r="C233" t="inlineStr">
        <is>
          <t>SUN</t>
        </is>
      </c>
      <c r="D233">
        <f>IF(AND(W33!I9&lt;&gt;"",W33!I9&lt;&gt;"✗"),1,0)</f>
        <v/>
      </c>
      <c r="E233">
        <f>IF(AND(W33!I10&lt;&gt;"",W33!I10&lt;&gt;"✗"),1,0)</f>
        <v/>
      </c>
      <c r="F233">
        <f>IF(AND(W33!I11&lt;&gt;"",W33!I11&lt;&gt;"✗"),1,0)</f>
        <v/>
      </c>
      <c r="G233">
        <f>IF(AND(W33!I12&lt;&gt;"",W33!I12&lt;&gt;"✗"),1,0)</f>
        <v/>
      </c>
      <c r="H233">
        <f>IF(AND(W33!I13&lt;&gt;"",W33!I13&lt;&gt;"✗"),1,0)</f>
        <v/>
      </c>
      <c r="I233">
        <f>IF(AND(W33!I14&lt;&gt;"",W33!I14&lt;&gt;"✗"),1,0)</f>
        <v/>
      </c>
      <c r="J233">
        <f>IF(AND(W33!I15&lt;&gt;"",W33!I15&lt;&gt;"✗"),1,0)</f>
        <v/>
      </c>
      <c r="K233">
        <f>IF(AND(W33!I16&lt;&gt;"",W33!I16&lt;&gt;"✗"),1,0)</f>
        <v/>
      </c>
      <c r="L233">
        <f>IF(AND(W33!I17&lt;&gt;"",W33!I17&lt;&gt;"✗"),1,0)</f>
        <v/>
      </c>
      <c r="M233">
        <f>IF(AND(W33!I18&lt;&gt;"",W33!I18&lt;&gt;"✗"),1,0)</f>
        <v/>
      </c>
      <c r="O233">
        <f>IF(D233=1,O232+1,0)</f>
        <v/>
      </c>
      <c r="P233">
        <f>IF(E233=1,P232+1,0)</f>
        <v/>
      </c>
      <c r="Q233">
        <f>IF(F233=1,Q232+1,0)</f>
        <v/>
      </c>
      <c r="R233">
        <f>IF(G233=1,R232+1,0)</f>
        <v/>
      </c>
      <c r="S233">
        <f>IF(H233=1,S232+1,0)</f>
        <v/>
      </c>
      <c r="T233">
        <f>IF(I233=1,T232+1,0)</f>
        <v/>
      </c>
      <c r="U233">
        <f>IF(J233=1,U232+1,0)</f>
        <v/>
      </c>
      <c r="V233">
        <f>IF(K233=1,V232+1,0)</f>
        <v/>
      </c>
      <c r="W233">
        <f>IF(L233=1,W232+1,0)</f>
        <v/>
      </c>
      <c r="X233">
        <f>IF(M233=1,X232+1,0)</f>
        <v/>
      </c>
    </row>
    <row r="234">
      <c r="A234" s="58">
        <f>'Start Here'!$E$6+231</f>
        <v/>
      </c>
      <c r="B234" t="n">
        <v>34</v>
      </c>
      <c r="C234" t="inlineStr">
        <is>
          <t>MON</t>
        </is>
      </c>
      <c r="D234">
        <f>IF(AND(W34!C9&lt;&gt;"",W34!C9&lt;&gt;"✗"),1,0)</f>
        <v/>
      </c>
      <c r="E234">
        <f>IF(AND(W34!C10&lt;&gt;"",W34!C10&lt;&gt;"✗"),1,0)</f>
        <v/>
      </c>
      <c r="F234">
        <f>IF(AND(W34!C11&lt;&gt;"",W34!C11&lt;&gt;"✗"),1,0)</f>
        <v/>
      </c>
      <c r="G234">
        <f>IF(AND(W34!C12&lt;&gt;"",W34!C12&lt;&gt;"✗"),1,0)</f>
        <v/>
      </c>
      <c r="H234">
        <f>IF(AND(W34!C13&lt;&gt;"",W34!C13&lt;&gt;"✗"),1,0)</f>
        <v/>
      </c>
      <c r="I234">
        <f>IF(AND(W34!C14&lt;&gt;"",W34!C14&lt;&gt;"✗"),1,0)</f>
        <v/>
      </c>
      <c r="J234">
        <f>IF(AND(W34!C15&lt;&gt;"",W34!C15&lt;&gt;"✗"),1,0)</f>
        <v/>
      </c>
      <c r="K234">
        <f>IF(AND(W34!C16&lt;&gt;"",W34!C16&lt;&gt;"✗"),1,0)</f>
        <v/>
      </c>
      <c r="L234">
        <f>IF(AND(W34!C17&lt;&gt;"",W34!C17&lt;&gt;"✗"),1,0)</f>
        <v/>
      </c>
      <c r="M234">
        <f>IF(AND(W34!C18&lt;&gt;"",W34!C18&lt;&gt;"✗"),1,0)</f>
        <v/>
      </c>
      <c r="O234">
        <f>IF(D234=1,O233+1,0)</f>
        <v/>
      </c>
      <c r="P234">
        <f>IF(E234=1,P233+1,0)</f>
        <v/>
      </c>
      <c r="Q234">
        <f>IF(F234=1,Q233+1,0)</f>
        <v/>
      </c>
      <c r="R234">
        <f>IF(G234=1,R233+1,0)</f>
        <v/>
      </c>
      <c r="S234">
        <f>IF(H234=1,S233+1,0)</f>
        <v/>
      </c>
      <c r="T234">
        <f>IF(I234=1,T233+1,0)</f>
        <v/>
      </c>
      <c r="U234">
        <f>IF(J234=1,U233+1,0)</f>
        <v/>
      </c>
      <c r="V234">
        <f>IF(K234=1,V233+1,0)</f>
        <v/>
      </c>
      <c r="W234">
        <f>IF(L234=1,W233+1,0)</f>
        <v/>
      </c>
      <c r="X234">
        <f>IF(M234=1,X233+1,0)</f>
        <v/>
      </c>
    </row>
    <row r="235">
      <c r="A235" s="58">
        <f>'Start Here'!$E$6+232</f>
        <v/>
      </c>
      <c r="B235" t="n">
        <v>34</v>
      </c>
      <c r="C235" t="inlineStr">
        <is>
          <t>TUE</t>
        </is>
      </c>
      <c r="D235">
        <f>IF(AND(W34!D9&lt;&gt;"",W34!D9&lt;&gt;"✗"),1,0)</f>
        <v/>
      </c>
      <c r="E235">
        <f>IF(AND(W34!D10&lt;&gt;"",W34!D10&lt;&gt;"✗"),1,0)</f>
        <v/>
      </c>
      <c r="F235">
        <f>IF(AND(W34!D11&lt;&gt;"",W34!D11&lt;&gt;"✗"),1,0)</f>
        <v/>
      </c>
      <c r="G235">
        <f>IF(AND(W34!D12&lt;&gt;"",W34!D12&lt;&gt;"✗"),1,0)</f>
        <v/>
      </c>
      <c r="H235">
        <f>IF(AND(W34!D13&lt;&gt;"",W34!D13&lt;&gt;"✗"),1,0)</f>
        <v/>
      </c>
      <c r="I235">
        <f>IF(AND(W34!D14&lt;&gt;"",W34!D14&lt;&gt;"✗"),1,0)</f>
        <v/>
      </c>
      <c r="J235">
        <f>IF(AND(W34!D15&lt;&gt;"",W34!D15&lt;&gt;"✗"),1,0)</f>
        <v/>
      </c>
      <c r="K235">
        <f>IF(AND(W34!D16&lt;&gt;"",W34!D16&lt;&gt;"✗"),1,0)</f>
        <v/>
      </c>
      <c r="L235">
        <f>IF(AND(W34!D17&lt;&gt;"",W34!D17&lt;&gt;"✗"),1,0)</f>
        <v/>
      </c>
      <c r="M235">
        <f>IF(AND(W34!D18&lt;&gt;"",W34!D18&lt;&gt;"✗"),1,0)</f>
        <v/>
      </c>
      <c r="O235">
        <f>IF(D235=1,O234+1,0)</f>
        <v/>
      </c>
      <c r="P235">
        <f>IF(E235=1,P234+1,0)</f>
        <v/>
      </c>
      <c r="Q235">
        <f>IF(F235=1,Q234+1,0)</f>
        <v/>
      </c>
      <c r="R235">
        <f>IF(G235=1,R234+1,0)</f>
        <v/>
      </c>
      <c r="S235">
        <f>IF(H235=1,S234+1,0)</f>
        <v/>
      </c>
      <c r="T235">
        <f>IF(I235=1,T234+1,0)</f>
        <v/>
      </c>
      <c r="U235">
        <f>IF(J235=1,U234+1,0)</f>
        <v/>
      </c>
      <c r="V235">
        <f>IF(K235=1,V234+1,0)</f>
        <v/>
      </c>
      <c r="W235">
        <f>IF(L235=1,W234+1,0)</f>
        <v/>
      </c>
      <c r="X235">
        <f>IF(M235=1,X234+1,0)</f>
        <v/>
      </c>
    </row>
    <row r="236">
      <c r="A236" s="58">
        <f>'Start Here'!$E$6+233</f>
        <v/>
      </c>
      <c r="B236" t="n">
        <v>34</v>
      </c>
      <c r="C236" t="inlineStr">
        <is>
          <t>WED</t>
        </is>
      </c>
      <c r="D236">
        <f>IF(AND(W34!E9&lt;&gt;"",W34!E9&lt;&gt;"✗"),1,0)</f>
        <v/>
      </c>
      <c r="E236">
        <f>IF(AND(W34!E10&lt;&gt;"",W34!E10&lt;&gt;"✗"),1,0)</f>
        <v/>
      </c>
      <c r="F236">
        <f>IF(AND(W34!E11&lt;&gt;"",W34!E11&lt;&gt;"✗"),1,0)</f>
        <v/>
      </c>
      <c r="G236">
        <f>IF(AND(W34!E12&lt;&gt;"",W34!E12&lt;&gt;"✗"),1,0)</f>
        <v/>
      </c>
      <c r="H236">
        <f>IF(AND(W34!E13&lt;&gt;"",W34!E13&lt;&gt;"✗"),1,0)</f>
        <v/>
      </c>
      <c r="I236">
        <f>IF(AND(W34!E14&lt;&gt;"",W34!E14&lt;&gt;"✗"),1,0)</f>
        <v/>
      </c>
      <c r="J236">
        <f>IF(AND(W34!E15&lt;&gt;"",W34!E15&lt;&gt;"✗"),1,0)</f>
        <v/>
      </c>
      <c r="K236">
        <f>IF(AND(W34!E16&lt;&gt;"",W34!E16&lt;&gt;"✗"),1,0)</f>
        <v/>
      </c>
      <c r="L236">
        <f>IF(AND(W34!E17&lt;&gt;"",W34!E17&lt;&gt;"✗"),1,0)</f>
        <v/>
      </c>
      <c r="M236">
        <f>IF(AND(W34!E18&lt;&gt;"",W34!E18&lt;&gt;"✗"),1,0)</f>
        <v/>
      </c>
      <c r="O236">
        <f>IF(D236=1,O235+1,0)</f>
        <v/>
      </c>
      <c r="P236">
        <f>IF(E236=1,P235+1,0)</f>
        <v/>
      </c>
      <c r="Q236">
        <f>IF(F236=1,Q235+1,0)</f>
        <v/>
      </c>
      <c r="R236">
        <f>IF(G236=1,R235+1,0)</f>
        <v/>
      </c>
      <c r="S236">
        <f>IF(H236=1,S235+1,0)</f>
        <v/>
      </c>
      <c r="T236">
        <f>IF(I236=1,T235+1,0)</f>
        <v/>
      </c>
      <c r="U236">
        <f>IF(J236=1,U235+1,0)</f>
        <v/>
      </c>
      <c r="V236">
        <f>IF(K236=1,V235+1,0)</f>
        <v/>
      </c>
      <c r="W236">
        <f>IF(L236=1,W235+1,0)</f>
        <v/>
      </c>
      <c r="X236">
        <f>IF(M236=1,X235+1,0)</f>
        <v/>
      </c>
    </row>
    <row r="237">
      <c r="A237" s="58">
        <f>'Start Here'!$E$6+234</f>
        <v/>
      </c>
      <c r="B237" t="n">
        <v>34</v>
      </c>
      <c r="C237" t="inlineStr">
        <is>
          <t>THU</t>
        </is>
      </c>
      <c r="D237">
        <f>IF(AND(W34!F9&lt;&gt;"",W34!F9&lt;&gt;"✗"),1,0)</f>
        <v/>
      </c>
      <c r="E237">
        <f>IF(AND(W34!F10&lt;&gt;"",W34!F10&lt;&gt;"✗"),1,0)</f>
        <v/>
      </c>
      <c r="F237">
        <f>IF(AND(W34!F11&lt;&gt;"",W34!F11&lt;&gt;"✗"),1,0)</f>
        <v/>
      </c>
      <c r="G237">
        <f>IF(AND(W34!F12&lt;&gt;"",W34!F12&lt;&gt;"✗"),1,0)</f>
        <v/>
      </c>
      <c r="H237">
        <f>IF(AND(W34!F13&lt;&gt;"",W34!F13&lt;&gt;"✗"),1,0)</f>
        <v/>
      </c>
      <c r="I237">
        <f>IF(AND(W34!F14&lt;&gt;"",W34!F14&lt;&gt;"✗"),1,0)</f>
        <v/>
      </c>
      <c r="J237">
        <f>IF(AND(W34!F15&lt;&gt;"",W34!F15&lt;&gt;"✗"),1,0)</f>
        <v/>
      </c>
      <c r="K237">
        <f>IF(AND(W34!F16&lt;&gt;"",W34!F16&lt;&gt;"✗"),1,0)</f>
        <v/>
      </c>
      <c r="L237">
        <f>IF(AND(W34!F17&lt;&gt;"",W34!F17&lt;&gt;"✗"),1,0)</f>
        <v/>
      </c>
      <c r="M237">
        <f>IF(AND(W34!F18&lt;&gt;"",W34!F18&lt;&gt;"✗"),1,0)</f>
        <v/>
      </c>
      <c r="O237">
        <f>IF(D237=1,O236+1,0)</f>
        <v/>
      </c>
      <c r="P237">
        <f>IF(E237=1,P236+1,0)</f>
        <v/>
      </c>
      <c r="Q237">
        <f>IF(F237=1,Q236+1,0)</f>
        <v/>
      </c>
      <c r="R237">
        <f>IF(G237=1,R236+1,0)</f>
        <v/>
      </c>
      <c r="S237">
        <f>IF(H237=1,S236+1,0)</f>
        <v/>
      </c>
      <c r="T237">
        <f>IF(I237=1,T236+1,0)</f>
        <v/>
      </c>
      <c r="U237">
        <f>IF(J237=1,U236+1,0)</f>
        <v/>
      </c>
      <c r="V237">
        <f>IF(K237=1,V236+1,0)</f>
        <v/>
      </c>
      <c r="W237">
        <f>IF(L237=1,W236+1,0)</f>
        <v/>
      </c>
      <c r="X237">
        <f>IF(M237=1,X236+1,0)</f>
        <v/>
      </c>
    </row>
    <row r="238">
      <c r="A238" s="58">
        <f>'Start Here'!$E$6+235</f>
        <v/>
      </c>
      <c r="B238" t="n">
        <v>34</v>
      </c>
      <c r="C238" t="inlineStr">
        <is>
          <t>FRI</t>
        </is>
      </c>
      <c r="D238">
        <f>IF(AND(W34!G9&lt;&gt;"",W34!G9&lt;&gt;"✗"),1,0)</f>
        <v/>
      </c>
      <c r="E238">
        <f>IF(AND(W34!G10&lt;&gt;"",W34!G10&lt;&gt;"✗"),1,0)</f>
        <v/>
      </c>
      <c r="F238">
        <f>IF(AND(W34!G11&lt;&gt;"",W34!G11&lt;&gt;"✗"),1,0)</f>
        <v/>
      </c>
      <c r="G238">
        <f>IF(AND(W34!G12&lt;&gt;"",W34!G12&lt;&gt;"✗"),1,0)</f>
        <v/>
      </c>
      <c r="H238">
        <f>IF(AND(W34!G13&lt;&gt;"",W34!G13&lt;&gt;"✗"),1,0)</f>
        <v/>
      </c>
      <c r="I238">
        <f>IF(AND(W34!G14&lt;&gt;"",W34!G14&lt;&gt;"✗"),1,0)</f>
        <v/>
      </c>
      <c r="J238">
        <f>IF(AND(W34!G15&lt;&gt;"",W34!G15&lt;&gt;"✗"),1,0)</f>
        <v/>
      </c>
      <c r="K238">
        <f>IF(AND(W34!G16&lt;&gt;"",W34!G16&lt;&gt;"✗"),1,0)</f>
        <v/>
      </c>
      <c r="L238">
        <f>IF(AND(W34!G17&lt;&gt;"",W34!G17&lt;&gt;"✗"),1,0)</f>
        <v/>
      </c>
      <c r="M238">
        <f>IF(AND(W34!G18&lt;&gt;"",W34!G18&lt;&gt;"✗"),1,0)</f>
        <v/>
      </c>
      <c r="O238">
        <f>IF(D238=1,O237+1,0)</f>
        <v/>
      </c>
      <c r="P238">
        <f>IF(E238=1,P237+1,0)</f>
        <v/>
      </c>
      <c r="Q238">
        <f>IF(F238=1,Q237+1,0)</f>
        <v/>
      </c>
      <c r="R238">
        <f>IF(G238=1,R237+1,0)</f>
        <v/>
      </c>
      <c r="S238">
        <f>IF(H238=1,S237+1,0)</f>
        <v/>
      </c>
      <c r="T238">
        <f>IF(I238=1,T237+1,0)</f>
        <v/>
      </c>
      <c r="U238">
        <f>IF(J238=1,U237+1,0)</f>
        <v/>
      </c>
      <c r="V238">
        <f>IF(K238=1,V237+1,0)</f>
        <v/>
      </c>
      <c r="W238">
        <f>IF(L238=1,W237+1,0)</f>
        <v/>
      </c>
      <c r="X238">
        <f>IF(M238=1,X237+1,0)</f>
        <v/>
      </c>
    </row>
    <row r="239">
      <c r="A239" s="58">
        <f>'Start Here'!$E$6+236</f>
        <v/>
      </c>
      <c r="B239" t="n">
        <v>34</v>
      </c>
      <c r="C239" t="inlineStr">
        <is>
          <t>SAT</t>
        </is>
      </c>
      <c r="D239">
        <f>IF(AND(W34!H9&lt;&gt;"",W34!H9&lt;&gt;"✗"),1,0)</f>
        <v/>
      </c>
      <c r="E239">
        <f>IF(AND(W34!H10&lt;&gt;"",W34!H10&lt;&gt;"✗"),1,0)</f>
        <v/>
      </c>
      <c r="F239">
        <f>IF(AND(W34!H11&lt;&gt;"",W34!H11&lt;&gt;"✗"),1,0)</f>
        <v/>
      </c>
      <c r="G239">
        <f>IF(AND(W34!H12&lt;&gt;"",W34!H12&lt;&gt;"✗"),1,0)</f>
        <v/>
      </c>
      <c r="H239">
        <f>IF(AND(W34!H13&lt;&gt;"",W34!H13&lt;&gt;"✗"),1,0)</f>
        <v/>
      </c>
      <c r="I239">
        <f>IF(AND(W34!H14&lt;&gt;"",W34!H14&lt;&gt;"✗"),1,0)</f>
        <v/>
      </c>
      <c r="J239">
        <f>IF(AND(W34!H15&lt;&gt;"",W34!H15&lt;&gt;"✗"),1,0)</f>
        <v/>
      </c>
      <c r="K239">
        <f>IF(AND(W34!H16&lt;&gt;"",W34!H16&lt;&gt;"✗"),1,0)</f>
        <v/>
      </c>
      <c r="L239">
        <f>IF(AND(W34!H17&lt;&gt;"",W34!H17&lt;&gt;"✗"),1,0)</f>
        <v/>
      </c>
      <c r="M239">
        <f>IF(AND(W34!H18&lt;&gt;"",W34!H18&lt;&gt;"✗"),1,0)</f>
        <v/>
      </c>
      <c r="O239">
        <f>IF(D239=1,O238+1,0)</f>
        <v/>
      </c>
      <c r="P239">
        <f>IF(E239=1,P238+1,0)</f>
        <v/>
      </c>
      <c r="Q239">
        <f>IF(F239=1,Q238+1,0)</f>
        <v/>
      </c>
      <c r="R239">
        <f>IF(G239=1,R238+1,0)</f>
        <v/>
      </c>
      <c r="S239">
        <f>IF(H239=1,S238+1,0)</f>
        <v/>
      </c>
      <c r="T239">
        <f>IF(I239=1,T238+1,0)</f>
        <v/>
      </c>
      <c r="U239">
        <f>IF(J239=1,U238+1,0)</f>
        <v/>
      </c>
      <c r="V239">
        <f>IF(K239=1,V238+1,0)</f>
        <v/>
      </c>
      <c r="W239">
        <f>IF(L239=1,W238+1,0)</f>
        <v/>
      </c>
      <c r="X239">
        <f>IF(M239=1,X238+1,0)</f>
        <v/>
      </c>
    </row>
    <row r="240">
      <c r="A240" s="58">
        <f>'Start Here'!$E$6+237</f>
        <v/>
      </c>
      <c r="B240" t="n">
        <v>34</v>
      </c>
      <c r="C240" t="inlineStr">
        <is>
          <t>SUN</t>
        </is>
      </c>
      <c r="D240">
        <f>IF(AND(W34!I9&lt;&gt;"",W34!I9&lt;&gt;"✗"),1,0)</f>
        <v/>
      </c>
      <c r="E240">
        <f>IF(AND(W34!I10&lt;&gt;"",W34!I10&lt;&gt;"✗"),1,0)</f>
        <v/>
      </c>
      <c r="F240">
        <f>IF(AND(W34!I11&lt;&gt;"",W34!I11&lt;&gt;"✗"),1,0)</f>
        <v/>
      </c>
      <c r="G240">
        <f>IF(AND(W34!I12&lt;&gt;"",W34!I12&lt;&gt;"✗"),1,0)</f>
        <v/>
      </c>
      <c r="H240">
        <f>IF(AND(W34!I13&lt;&gt;"",W34!I13&lt;&gt;"✗"),1,0)</f>
        <v/>
      </c>
      <c r="I240">
        <f>IF(AND(W34!I14&lt;&gt;"",W34!I14&lt;&gt;"✗"),1,0)</f>
        <v/>
      </c>
      <c r="J240">
        <f>IF(AND(W34!I15&lt;&gt;"",W34!I15&lt;&gt;"✗"),1,0)</f>
        <v/>
      </c>
      <c r="K240">
        <f>IF(AND(W34!I16&lt;&gt;"",W34!I16&lt;&gt;"✗"),1,0)</f>
        <v/>
      </c>
      <c r="L240">
        <f>IF(AND(W34!I17&lt;&gt;"",W34!I17&lt;&gt;"✗"),1,0)</f>
        <v/>
      </c>
      <c r="M240">
        <f>IF(AND(W34!I18&lt;&gt;"",W34!I18&lt;&gt;"✗"),1,0)</f>
        <v/>
      </c>
      <c r="O240">
        <f>IF(D240=1,O239+1,0)</f>
        <v/>
      </c>
      <c r="P240">
        <f>IF(E240=1,P239+1,0)</f>
        <v/>
      </c>
      <c r="Q240">
        <f>IF(F240=1,Q239+1,0)</f>
        <v/>
      </c>
      <c r="R240">
        <f>IF(G240=1,R239+1,0)</f>
        <v/>
      </c>
      <c r="S240">
        <f>IF(H240=1,S239+1,0)</f>
        <v/>
      </c>
      <c r="T240">
        <f>IF(I240=1,T239+1,0)</f>
        <v/>
      </c>
      <c r="U240">
        <f>IF(J240=1,U239+1,0)</f>
        <v/>
      </c>
      <c r="V240">
        <f>IF(K240=1,V239+1,0)</f>
        <v/>
      </c>
      <c r="W240">
        <f>IF(L240=1,W239+1,0)</f>
        <v/>
      </c>
      <c r="X240">
        <f>IF(M240=1,X239+1,0)</f>
        <v/>
      </c>
    </row>
    <row r="241">
      <c r="A241" s="58">
        <f>'Start Here'!$E$6+238</f>
        <v/>
      </c>
      <c r="B241" t="n">
        <v>35</v>
      </c>
      <c r="C241" t="inlineStr">
        <is>
          <t>MON</t>
        </is>
      </c>
      <c r="D241">
        <f>IF(AND(W35!C9&lt;&gt;"",W35!C9&lt;&gt;"✗"),1,0)</f>
        <v/>
      </c>
      <c r="E241">
        <f>IF(AND(W35!C10&lt;&gt;"",W35!C10&lt;&gt;"✗"),1,0)</f>
        <v/>
      </c>
      <c r="F241">
        <f>IF(AND(W35!C11&lt;&gt;"",W35!C11&lt;&gt;"✗"),1,0)</f>
        <v/>
      </c>
      <c r="G241">
        <f>IF(AND(W35!C12&lt;&gt;"",W35!C12&lt;&gt;"✗"),1,0)</f>
        <v/>
      </c>
      <c r="H241">
        <f>IF(AND(W35!C13&lt;&gt;"",W35!C13&lt;&gt;"✗"),1,0)</f>
        <v/>
      </c>
      <c r="I241">
        <f>IF(AND(W35!C14&lt;&gt;"",W35!C14&lt;&gt;"✗"),1,0)</f>
        <v/>
      </c>
      <c r="J241">
        <f>IF(AND(W35!C15&lt;&gt;"",W35!C15&lt;&gt;"✗"),1,0)</f>
        <v/>
      </c>
      <c r="K241">
        <f>IF(AND(W35!C16&lt;&gt;"",W35!C16&lt;&gt;"✗"),1,0)</f>
        <v/>
      </c>
      <c r="L241">
        <f>IF(AND(W35!C17&lt;&gt;"",W35!C17&lt;&gt;"✗"),1,0)</f>
        <v/>
      </c>
      <c r="M241">
        <f>IF(AND(W35!C18&lt;&gt;"",W35!C18&lt;&gt;"✗"),1,0)</f>
        <v/>
      </c>
      <c r="O241">
        <f>IF(D241=1,O240+1,0)</f>
        <v/>
      </c>
      <c r="P241">
        <f>IF(E241=1,P240+1,0)</f>
        <v/>
      </c>
      <c r="Q241">
        <f>IF(F241=1,Q240+1,0)</f>
        <v/>
      </c>
      <c r="R241">
        <f>IF(G241=1,R240+1,0)</f>
        <v/>
      </c>
      <c r="S241">
        <f>IF(H241=1,S240+1,0)</f>
        <v/>
      </c>
      <c r="T241">
        <f>IF(I241=1,T240+1,0)</f>
        <v/>
      </c>
      <c r="U241">
        <f>IF(J241=1,U240+1,0)</f>
        <v/>
      </c>
      <c r="V241">
        <f>IF(K241=1,V240+1,0)</f>
        <v/>
      </c>
      <c r="W241">
        <f>IF(L241=1,W240+1,0)</f>
        <v/>
      </c>
      <c r="X241">
        <f>IF(M241=1,X240+1,0)</f>
        <v/>
      </c>
    </row>
    <row r="242">
      <c r="A242" s="58">
        <f>'Start Here'!$E$6+239</f>
        <v/>
      </c>
      <c r="B242" t="n">
        <v>35</v>
      </c>
      <c r="C242" t="inlineStr">
        <is>
          <t>TUE</t>
        </is>
      </c>
      <c r="D242">
        <f>IF(AND(W35!D9&lt;&gt;"",W35!D9&lt;&gt;"✗"),1,0)</f>
        <v/>
      </c>
      <c r="E242">
        <f>IF(AND(W35!D10&lt;&gt;"",W35!D10&lt;&gt;"✗"),1,0)</f>
        <v/>
      </c>
      <c r="F242">
        <f>IF(AND(W35!D11&lt;&gt;"",W35!D11&lt;&gt;"✗"),1,0)</f>
        <v/>
      </c>
      <c r="G242">
        <f>IF(AND(W35!D12&lt;&gt;"",W35!D12&lt;&gt;"✗"),1,0)</f>
        <v/>
      </c>
      <c r="H242">
        <f>IF(AND(W35!D13&lt;&gt;"",W35!D13&lt;&gt;"✗"),1,0)</f>
        <v/>
      </c>
      <c r="I242">
        <f>IF(AND(W35!D14&lt;&gt;"",W35!D14&lt;&gt;"✗"),1,0)</f>
        <v/>
      </c>
      <c r="J242">
        <f>IF(AND(W35!D15&lt;&gt;"",W35!D15&lt;&gt;"✗"),1,0)</f>
        <v/>
      </c>
      <c r="K242">
        <f>IF(AND(W35!D16&lt;&gt;"",W35!D16&lt;&gt;"✗"),1,0)</f>
        <v/>
      </c>
      <c r="L242">
        <f>IF(AND(W35!D17&lt;&gt;"",W35!D17&lt;&gt;"✗"),1,0)</f>
        <v/>
      </c>
      <c r="M242">
        <f>IF(AND(W35!D18&lt;&gt;"",W35!D18&lt;&gt;"✗"),1,0)</f>
        <v/>
      </c>
      <c r="O242">
        <f>IF(D242=1,O241+1,0)</f>
        <v/>
      </c>
      <c r="P242">
        <f>IF(E242=1,P241+1,0)</f>
        <v/>
      </c>
      <c r="Q242">
        <f>IF(F242=1,Q241+1,0)</f>
        <v/>
      </c>
      <c r="R242">
        <f>IF(G242=1,R241+1,0)</f>
        <v/>
      </c>
      <c r="S242">
        <f>IF(H242=1,S241+1,0)</f>
        <v/>
      </c>
      <c r="T242">
        <f>IF(I242=1,T241+1,0)</f>
        <v/>
      </c>
      <c r="U242">
        <f>IF(J242=1,U241+1,0)</f>
        <v/>
      </c>
      <c r="V242">
        <f>IF(K242=1,V241+1,0)</f>
        <v/>
      </c>
      <c r="W242">
        <f>IF(L242=1,W241+1,0)</f>
        <v/>
      </c>
      <c r="X242">
        <f>IF(M242=1,X241+1,0)</f>
        <v/>
      </c>
    </row>
    <row r="243">
      <c r="A243" s="58">
        <f>'Start Here'!$E$6+240</f>
        <v/>
      </c>
      <c r="B243" t="n">
        <v>35</v>
      </c>
      <c r="C243" t="inlineStr">
        <is>
          <t>WED</t>
        </is>
      </c>
      <c r="D243">
        <f>IF(AND(W35!E9&lt;&gt;"",W35!E9&lt;&gt;"✗"),1,0)</f>
        <v/>
      </c>
      <c r="E243">
        <f>IF(AND(W35!E10&lt;&gt;"",W35!E10&lt;&gt;"✗"),1,0)</f>
        <v/>
      </c>
      <c r="F243">
        <f>IF(AND(W35!E11&lt;&gt;"",W35!E11&lt;&gt;"✗"),1,0)</f>
        <v/>
      </c>
      <c r="G243">
        <f>IF(AND(W35!E12&lt;&gt;"",W35!E12&lt;&gt;"✗"),1,0)</f>
        <v/>
      </c>
      <c r="H243">
        <f>IF(AND(W35!E13&lt;&gt;"",W35!E13&lt;&gt;"✗"),1,0)</f>
        <v/>
      </c>
      <c r="I243">
        <f>IF(AND(W35!E14&lt;&gt;"",W35!E14&lt;&gt;"✗"),1,0)</f>
        <v/>
      </c>
      <c r="J243">
        <f>IF(AND(W35!E15&lt;&gt;"",W35!E15&lt;&gt;"✗"),1,0)</f>
        <v/>
      </c>
      <c r="K243">
        <f>IF(AND(W35!E16&lt;&gt;"",W35!E16&lt;&gt;"✗"),1,0)</f>
        <v/>
      </c>
      <c r="L243">
        <f>IF(AND(W35!E17&lt;&gt;"",W35!E17&lt;&gt;"✗"),1,0)</f>
        <v/>
      </c>
      <c r="M243">
        <f>IF(AND(W35!E18&lt;&gt;"",W35!E18&lt;&gt;"✗"),1,0)</f>
        <v/>
      </c>
      <c r="O243">
        <f>IF(D243=1,O242+1,0)</f>
        <v/>
      </c>
      <c r="P243">
        <f>IF(E243=1,P242+1,0)</f>
        <v/>
      </c>
      <c r="Q243">
        <f>IF(F243=1,Q242+1,0)</f>
        <v/>
      </c>
      <c r="R243">
        <f>IF(G243=1,R242+1,0)</f>
        <v/>
      </c>
      <c r="S243">
        <f>IF(H243=1,S242+1,0)</f>
        <v/>
      </c>
      <c r="T243">
        <f>IF(I243=1,T242+1,0)</f>
        <v/>
      </c>
      <c r="U243">
        <f>IF(J243=1,U242+1,0)</f>
        <v/>
      </c>
      <c r="V243">
        <f>IF(K243=1,V242+1,0)</f>
        <v/>
      </c>
      <c r="W243">
        <f>IF(L243=1,W242+1,0)</f>
        <v/>
      </c>
      <c r="X243">
        <f>IF(M243=1,X242+1,0)</f>
        <v/>
      </c>
    </row>
    <row r="244">
      <c r="A244" s="58">
        <f>'Start Here'!$E$6+241</f>
        <v/>
      </c>
      <c r="B244" t="n">
        <v>35</v>
      </c>
      <c r="C244" t="inlineStr">
        <is>
          <t>THU</t>
        </is>
      </c>
      <c r="D244">
        <f>IF(AND(W35!F9&lt;&gt;"",W35!F9&lt;&gt;"✗"),1,0)</f>
        <v/>
      </c>
      <c r="E244">
        <f>IF(AND(W35!F10&lt;&gt;"",W35!F10&lt;&gt;"✗"),1,0)</f>
        <v/>
      </c>
      <c r="F244">
        <f>IF(AND(W35!F11&lt;&gt;"",W35!F11&lt;&gt;"✗"),1,0)</f>
        <v/>
      </c>
      <c r="G244">
        <f>IF(AND(W35!F12&lt;&gt;"",W35!F12&lt;&gt;"✗"),1,0)</f>
        <v/>
      </c>
      <c r="H244">
        <f>IF(AND(W35!F13&lt;&gt;"",W35!F13&lt;&gt;"✗"),1,0)</f>
        <v/>
      </c>
      <c r="I244">
        <f>IF(AND(W35!F14&lt;&gt;"",W35!F14&lt;&gt;"✗"),1,0)</f>
        <v/>
      </c>
      <c r="J244">
        <f>IF(AND(W35!F15&lt;&gt;"",W35!F15&lt;&gt;"✗"),1,0)</f>
        <v/>
      </c>
      <c r="K244">
        <f>IF(AND(W35!F16&lt;&gt;"",W35!F16&lt;&gt;"✗"),1,0)</f>
        <v/>
      </c>
      <c r="L244">
        <f>IF(AND(W35!F17&lt;&gt;"",W35!F17&lt;&gt;"✗"),1,0)</f>
        <v/>
      </c>
      <c r="M244">
        <f>IF(AND(W35!F18&lt;&gt;"",W35!F18&lt;&gt;"✗"),1,0)</f>
        <v/>
      </c>
      <c r="O244">
        <f>IF(D244=1,O243+1,0)</f>
        <v/>
      </c>
      <c r="P244">
        <f>IF(E244=1,P243+1,0)</f>
        <v/>
      </c>
      <c r="Q244">
        <f>IF(F244=1,Q243+1,0)</f>
        <v/>
      </c>
      <c r="R244">
        <f>IF(G244=1,R243+1,0)</f>
        <v/>
      </c>
      <c r="S244">
        <f>IF(H244=1,S243+1,0)</f>
        <v/>
      </c>
      <c r="T244">
        <f>IF(I244=1,T243+1,0)</f>
        <v/>
      </c>
      <c r="U244">
        <f>IF(J244=1,U243+1,0)</f>
        <v/>
      </c>
      <c r="V244">
        <f>IF(K244=1,V243+1,0)</f>
        <v/>
      </c>
      <c r="W244">
        <f>IF(L244=1,W243+1,0)</f>
        <v/>
      </c>
      <c r="X244">
        <f>IF(M244=1,X243+1,0)</f>
        <v/>
      </c>
    </row>
    <row r="245">
      <c r="A245" s="58">
        <f>'Start Here'!$E$6+242</f>
        <v/>
      </c>
      <c r="B245" t="n">
        <v>35</v>
      </c>
      <c r="C245" t="inlineStr">
        <is>
          <t>FRI</t>
        </is>
      </c>
      <c r="D245">
        <f>IF(AND(W35!G9&lt;&gt;"",W35!G9&lt;&gt;"✗"),1,0)</f>
        <v/>
      </c>
      <c r="E245">
        <f>IF(AND(W35!G10&lt;&gt;"",W35!G10&lt;&gt;"✗"),1,0)</f>
        <v/>
      </c>
      <c r="F245">
        <f>IF(AND(W35!G11&lt;&gt;"",W35!G11&lt;&gt;"✗"),1,0)</f>
        <v/>
      </c>
      <c r="G245">
        <f>IF(AND(W35!G12&lt;&gt;"",W35!G12&lt;&gt;"✗"),1,0)</f>
        <v/>
      </c>
      <c r="H245">
        <f>IF(AND(W35!G13&lt;&gt;"",W35!G13&lt;&gt;"✗"),1,0)</f>
        <v/>
      </c>
      <c r="I245">
        <f>IF(AND(W35!G14&lt;&gt;"",W35!G14&lt;&gt;"✗"),1,0)</f>
        <v/>
      </c>
      <c r="J245">
        <f>IF(AND(W35!G15&lt;&gt;"",W35!G15&lt;&gt;"✗"),1,0)</f>
        <v/>
      </c>
      <c r="K245">
        <f>IF(AND(W35!G16&lt;&gt;"",W35!G16&lt;&gt;"✗"),1,0)</f>
        <v/>
      </c>
      <c r="L245">
        <f>IF(AND(W35!G17&lt;&gt;"",W35!G17&lt;&gt;"✗"),1,0)</f>
        <v/>
      </c>
      <c r="M245">
        <f>IF(AND(W35!G18&lt;&gt;"",W35!G18&lt;&gt;"✗"),1,0)</f>
        <v/>
      </c>
      <c r="O245">
        <f>IF(D245=1,O244+1,0)</f>
        <v/>
      </c>
      <c r="P245">
        <f>IF(E245=1,P244+1,0)</f>
        <v/>
      </c>
      <c r="Q245">
        <f>IF(F245=1,Q244+1,0)</f>
        <v/>
      </c>
      <c r="R245">
        <f>IF(G245=1,R244+1,0)</f>
        <v/>
      </c>
      <c r="S245">
        <f>IF(H245=1,S244+1,0)</f>
        <v/>
      </c>
      <c r="T245">
        <f>IF(I245=1,T244+1,0)</f>
        <v/>
      </c>
      <c r="U245">
        <f>IF(J245=1,U244+1,0)</f>
        <v/>
      </c>
      <c r="V245">
        <f>IF(K245=1,V244+1,0)</f>
        <v/>
      </c>
      <c r="W245">
        <f>IF(L245=1,W244+1,0)</f>
        <v/>
      </c>
      <c r="X245">
        <f>IF(M245=1,X244+1,0)</f>
        <v/>
      </c>
    </row>
    <row r="246">
      <c r="A246" s="58">
        <f>'Start Here'!$E$6+243</f>
        <v/>
      </c>
      <c r="B246" t="n">
        <v>35</v>
      </c>
      <c r="C246" t="inlineStr">
        <is>
          <t>SAT</t>
        </is>
      </c>
      <c r="D246">
        <f>IF(AND(W35!H9&lt;&gt;"",W35!H9&lt;&gt;"✗"),1,0)</f>
        <v/>
      </c>
      <c r="E246">
        <f>IF(AND(W35!H10&lt;&gt;"",W35!H10&lt;&gt;"✗"),1,0)</f>
        <v/>
      </c>
      <c r="F246">
        <f>IF(AND(W35!H11&lt;&gt;"",W35!H11&lt;&gt;"✗"),1,0)</f>
        <v/>
      </c>
      <c r="G246">
        <f>IF(AND(W35!H12&lt;&gt;"",W35!H12&lt;&gt;"✗"),1,0)</f>
        <v/>
      </c>
      <c r="H246">
        <f>IF(AND(W35!H13&lt;&gt;"",W35!H13&lt;&gt;"✗"),1,0)</f>
        <v/>
      </c>
      <c r="I246">
        <f>IF(AND(W35!H14&lt;&gt;"",W35!H14&lt;&gt;"✗"),1,0)</f>
        <v/>
      </c>
      <c r="J246">
        <f>IF(AND(W35!H15&lt;&gt;"",W35!H15&lt;&gt;"✗"),1,0)</f>
        <v/>
      </c>
      <c r="K246">
        <f>IF(AND(W35!H16&lt;&gt;"",W35!H16&lt;&gt;"✗"),1,0)</f>
        <v/>
      </c>
      <c r="L246">
        <f>IF(AND(W35!H17&lt;&gt;"",W35!H17&lt;&gt;"✗"),1,0)</f>
        <v/>
      </c>
      <c r="M246">
        <f>IF(AND(W35!H18&lt;&gt;"",W35!H18&lt;&gt;"✗"),1,0)</f>
        <v/>
      </c>
      <c r="O246">
        <f>IF(D246=1,O245+1,0)</f>
        <v/>
      </c>
      <c r="P246">
        <f>IF(E246=1,P245+1,0)</f>
        <v/>
      </c>
      <c r="Q246">
        <f>IF(F246=1,Q245+1,0)</f>
        <v/>
      </c>
      <c r="R246">
        <f>IF(G246=1,R245+1,0)</f>
        <v/>
      </c>
      <c r="S246">
        <f>IF(H246=1,S245+1,0)</f>
        <v/>
      </c>
      <c r="T246">
        <f>IF(I246=1,T245+1,0)</f>
        <v/>
      </c>
      <c r="U246">
        <f>IF(J246=1,U245+1,0)</f>
        <v/>
      </c>
      <c r="V246">
        <f>IF(K246=1,V245+1,0)</f>
        <v/>
      </c>
      <c r="W246">
        <f>IF(L246=1,W245+1,0)</f>
        <v/>
      </c>
      <c r="X246">
        <f>IF(M246=1,X245+1,0)</f>
        <v/>
      </c>
    </row>
    <row r="247">
      <c r="A247" s="58">
        <f>'Start Here'!$E$6+244</f>
        <v/>
      </c>
      <c r="B247" t="n">
        <v>35</v>
      </c>
      <c r="C247" t="inlineStr">
        <is>
          <t>SUN</t>
        </is>
      </c>
      <c r="D247">
        <f>IF(AND(W35!I9&lt;&gt;"",W35!I9&lt;&gt;"✗"),1,0)</f>
        <v/>
      </c>
      <c r="E247">
        <f>IF(AND(W35!I10&lt;&gt;"",W35!I10&lt;&gt;"✗"),1,0)</f>
        <v/>
      </c>
      <c r="F247">
        <f>IF(AND(W35!I11&lt;&gt;"",W35!I11&lt;&gt;"✗"),1,0)</f>
        <v/>
      </c>
      <c r="G247">
        <f>IF(AND(W35!I12&lt;&gt;"",W35!I12&lt;&gt;"✗"),1,0)</f>
        <v/>
      </c>
      <c r="H247">
        <f>IF(AND(W35!I13&lt;&gt;"",W35!I13&lt;&gt;"✗"),1,0)</f>
        <v/>
      </c>
      <c r="I247">
        <f>IF(AND(W35!I14&lt;&gt;"",W35!I14&lt;&gt;"✗"),1,0)</f>
        <v/>
      </c>
      <c r="J247">
        <f>IF(AND(W35!I15&lt;&gt;"",W35!I15&lt;&gt;"✗"),1,0)</f>
        <v/>
      </c>
      <c r="K247">
        <f>IF(AND(W35!I16&lt;&gt;"",W35!I16&lt;&gt;"✗"),1,0)</f>
        <v/>
      </c>
      <c r="L247">
        <f>IF(AND(W35!I17&lt;&gt;"",W35!I17&lt;&gt;"✗"),1,0)</f>
        <v/>
      </c>
      <c r="M247">
        <f>IF(AND(W35!I18&lt;&gt;"",W35!I18&lt;&gt;"✗"),1,0)</f>
        <v/>
      </c>
      <c r="O247">
        <f>IF(D247=1,O246+1,0)</f>
        <v/>
      </c>
      <c r="P247">
        <f>IF(E247=1,P246+1,0)</f>
        <v/>
      </c>
      <c r="Q247">
        <f>IF(F247=1,Q246+1,0)</f>
        <v/>
      </c>
      <c r="R247">
        <f>IF(G247=1,R246+1,0)</f>
        <v/>
      </c>
      <c r="S247">
        <f>IF(H247=1,S246+1,0)</f>
        <v/>
      </c>
      <c r="T247">
        <f>IF(I247=1,T246+1,0)</f>
        <v/>
      </c>
      <c r="U247">
        <f>IF(J247=1,U246+1,0)</f>
        <v/>
      </c>
      <c r="V247">
        <f>IF(K247=1,V246+1,0)</f>
        <v/>
      </c>
      <c r="W247">
        <f>IF(L247=1,W246+1,0)</f>
        <v/>
      </c>
      <c r="X247">
        <f>IF(M247=1,X246+1,0)</f>
        <v/>
      </c>
    </row>
    <row r="248">
      <c r="A248" s="58">
        <f>'Start Here'!$E$6+245</f>
        <v/>
      </c>
      <c r="B248" t="n">
        <v>36</v>
      </c>
      <c r="C248" t="inlineStr">
        <is>
          <t>MON</t>
        </is>
      </c>
      <c r="D248">
        <f>IF(AND(W36!C9&lt;&gt;"",W36!C9&lt;&gt;"✗"),1,0)</f>
        <v/>
      </c>
      <c r="E248">
        <f>IF(AND(W36!C10&lt;&gt;"",W36!C10&lt;&gt;"✗"),1,0)</f>
        <v/>
      </c>
      <c r="F248">
        <f>IF(AND(W36!C11&lt;&gt;"",W36!C11&lt;&gt;"✗"),1,0)</f>
        <v/>
      </c>
      <c r="G248">
        <f>IF(AND(W36!C12&lt;&gt;"",W36!C12&lt;&gt;"✗"),1,0)</f>
        <v/>
      </c>
      <c r="H248">
        <f>IF(AND(W36!C13&lt;&gt;"",W36!C13&lt;&gt;"✗"),1,0)</f>
        <v/>
      </c>
      <c r="I248">
        <f>IF(AND(W36!C14&lt;&gt;"",W36!C14&lt;&gt;"✗"),1,0)</f>
        <v/>
      </c>
      <c r="J248">
        <f>IF(AND(W36!C15&lt;&gt;"",W36!C15&lt;&gt;"✗"),1,0)</f>
        <v/>
      </c>
      <c r="K248">
        <f>IF(AND(W36!C16&lt;&gt;"",W36!C16&lt;&gt;"✗"),1,0)</f>
        <v/>
      </c>
      <c r="L248">
        <f>IF(AND(W36!C17&lt;&gt;"",W36!C17&lt;&gt;"✗"),1,0)</f>
        <v/>
      </c>
      <c r="M248">
        <f>IF(AND(W36!C18&lt;&gt;"",W36!C18&lt;&gt;"✗"),1,0)</f>
        <v/>
      </c>
      <c r="O248">
        <f>IF(D248=1,O247+1,0)</f>
        <v/>
      </c>
      <c r="P248">
        <f>IF(E248=1,P247+1,0)</f>
        <v/>
      </c>
      <c r="Q248">
        <f>IF(F248=1,Q247+1,0)</f>
        <v/>
      </c>
      <c r="R248">
        <f>IF(G248=1,R247+1,0)</f>
        <v/>
      </c>
      <c r="S248">
        <f>IF(H248=1,S247+1,0)</f>
        <v/>
      </c>
      <c r="T248">
        <f>IF(I248=1,T247+1,0)</f>
        <v/>
      </c>
      <c r="U248">
        <f>IF(J248=1,U247+1,0)</f>
        <v/>
      </c>
      <c r="V248">
        <f>IF(K248=1,V247+1,0)</f>
        <v/>
      </c>
      <c r="W248">
        <f>IF(L248=1,W247+1,0)</f>
        <v/>
      </c>
      <c r="X248">
        <f>IF(M248=1,X247+1,0)</f>
        <v/>
      </c>
    </row>
    <row r="249">
      <c r="A249" s="58">
        <f>'Start Here'!$E$6+246</f>
        <v/>
      </c>
      <c r="B249" t="n">
        <v>36</v>
      </c>
      <c r="C249" t="inlineStr">
        <is>
          <t>TUE</t>
        </is>
      </c>
      <c r="D249">
        <f>IF(AND(W36!D9&lt;&gt;"",W36!D9&lt;&gt;"✗"),1,0)</f>
        <v/>
      </c>
      <c r="E249">
        <f>IF(AND(W36!D10&lt;&gt;"",W36!D10&lt;&gt;"✗"),1,0)</f>
        <v/>
      </c>
      <c r="F249">
        <f>IF(AND(W36!D11&lt;&gt;"",W36!D11&lt;&gt;"✗"),1,0)</f>
        <v/>
      </c>
      <c r="G249">
        <f>IF(AND(W36!D12&lt;&gt;"",W36!D12&lt;&gt;"✗"),1,0)</f>
        <v/>
      </c>
      <c r="H249">
        <f>IF(AND(W36!D13&lt;&gt;"",W36!D13&lt;&gt;"✗"),1,0)</f>
        <v/>
      </c>
      <c r="I249">
        <f>IF(AND(W36!D14&lt;&gt;"",W36!D14&lt;&gt;"✗"),1,0)</f>
        <v/>
      </c>
      <c r="J249">
        <f>IF(AND(W36!D15&lt;&gt;"",W36!D15&lt;&gt;"✗"),1,0)</f>
        <v/>
      </c>
      <c r="K249">
        <f>IF(AND(W36!D16&lt;&gt;"",W36!D16&lt;&gt;"✗"),1,0)</f>
        <v/>
      </c>
      <c r="L249">
        <f>IF(AND(W36!D17&lt;&gt;"",W36!D17&lt;&gt;"✗"),1,0)</f>
        <v/>
      </c>
      <c r="M249">
        <f>IF(AND(W36!D18&lt;&gt;"",W36!D18&lt;&gt;"✗"),1,0)</f>
        <v/>
      </c>
      <c r="O249">
        <f>IF(D249=1,O248+1,0)</f>
        <v/>
      </c>
      <c r="P249">
        <f>IF(E249=1,P248+1,0)</f>
        <v/>
      </c>
      <c r="Q249">
        <f>IF(F249=1,Q248+1,0)</f>
        <v/>
      </c>
      <c r="R249">
        <f>IF(G249=1,R248+1,0)</f>
        <v/>
      </c>
      <c r="S249">
        <f>IF(H249=1,S248+1,0)</f>
        <v/>
      </c>
      <c r="T249">
        <f>IF(I249=1,T248+1,0)</f>
        <v/>
      </c>
      <c r="U249">
        <f>IF(J249=1,U248+1,0)</f>
        <v/>
      </c>
      <c r="V249">
        <f>IF(K249=1,V248+1,0)</f>
        <v/>
      </c>
      <c r="W249">
        <f>IF(L249=1,W248+1,0)</f>
        <v/>
      </c>
      <c r="X249">
        <f>IF(M249=1,X248+1,0)</f>
        <v/>
      </c>
    </row>
    <row r="250">
      <c r="A250" s="58">
        <f>'Start Here'!$E$6+247</f>
        <v/>
      </c>
      <c r="B250" t="n">
        <v>36</v>
      </c>
      <c r="C250" t="inlineStr">
        <is>
          <t>WED</t>
        </is>
      </c>
      <c r="D250">
        <f>IF(AND(W36!E9&lt;&gt;"",W36!E9&lt;&gt;"✗"),1,0)</f>
        <v/>
      </c>
      <c r="E250">
        <f>IF(AND(W36!E10&lt;&gt;"",W36!E10&lt;&gt;"✗"),1,0)</f>
        <v/>
      </c>
      <c r="F250">
        <f>IF(AND(W36!E11&lt;&gt;"",W36!E11&lt;&gt;"✗"),1,0)</f>
        <v/>
      </c>
      <c r="G250">
        <f>IF(AND(W36!E12&lt;&gt;"",W36!E12&lt;&gt;"✗"),1,0)</f>
        <v/>
      </c>
      <c r="H250">
        <f>IF(AND(W36!E13&lt;&gt;"",W36!E13&lt;&gt;"✗"),1,0)</f>
        <v/>
      </c>
      <c r="I250">
        <f>IF(AND(W36!E14&lt;&gt;"",W36!E14&lt;&gt;"✗"),1,0)</f>
        <v/>
      </c>
      <c r="J250">
        <f>IF(AND(W36!E15&lt;&gt;"",W36!E15&lt;&gt;"✗"),1,0)</f>
        <v/>
      </c>
      <c r="K250">
        <f>IF(AND(W36!E16&lt;&gt;"",W36!E16&lt;&gt;"✗"),1,0)</f>
        <v/>
      </c>
      <c r="L250">
        <f>IF(AND(W36!E17&lt;&gt;"",W36!E17&lt;&gt;"✗"),1,0)</f>
        <v/>
      </c>
      <c r="M250">
        <f>IF(AND(W36!E18&lt;&gt;"",W36!E18&lt;&gt;"✗"),1,0)</f>
        <v/>
      </c>
      <c r="O250">
        <f>IF(D250=1,O249+1,0)</f>
        <v/>
      </c>
      <c r="P250">
        <f>IF(E250=1,P249+1,0)</f>
        <v/>
      </c>
      <c r="Q250">
        <f>IF(F250=1,Q249+1,0)</f>
        <v/>
      </c>
      <c r="R250">
        <f>IF(G250=1,R249+1,0)</f>
        <v/>
      </c>
      <c r="S250">
        <f>IF(H250=1,S249+1,0)</f>
        <v/>
      </c>
      <c r="T250">
        <f>IF(I250=1,T249+1,0)</f>
        <v/>
      </c>
      <c r="U250">
        <f>IF(J250=1,U249+1,0)</f>
        <v/>
      </c>
      <c r="V250">
        <f>IF(K250=1,V249+1,0)</f>
        <v/>
      </c>
      <c r="W250">
        <f>IF(L250=1,W249+1,0)</f>
        <v/>
      </c>
      <c r="X250">
        <f>IF(M250=1,X249+1,0)</f>
        <v/>
      </c>
    </row>
    <row r="251">
      <c r="A251" s="58">
        <f>'Start Here'!$E$6+248</f>
        <v/>
      </c>
      <c r="B251" t="n">
        <v>36</v>
      </c>
      <c r="C251" t="inlineStr">
        <is>
          <t>THU</t>
        </is>
      </c>
      <c r="D251">
        <f>IF(AND(W36!F9&lt;&gt;"",W36!F9&lt;&gt;"✗"),1,0)</f>
        <v/>
      </c>
      <c r="E251">
        <f>IF(AND(W36!F10&lt;&gt;"",W36!F10&lt;&gt;"✗"),1,0)</f>
        <v/>
      </c>
      <c r="F251">
        <f>IF(AND(W36!F11&lt;&gt;"",W36!F11&lt;&gt;"✗"),1,0)</f>
        <v/>
      </c>
      <c r="G251">
        <f>IF(AND(W36!F12&lt;&gt;"",W36!F12&lt;&gt;"✗"),1,0)</f>
        <v/>
      </c>
      <c r="H251">
        <f>IF(AND(W36!F13&lt;&gt;"",W36!F13&lt;&gt;"✗"),1,0)</f>
        <v/>
      </c>
      <c r="I251">
        <f>IF(AND(W36!F14&lt;&gt;"",W36!F14&lt;&gt;"✗"),1,0)</f>
        <v/>
      </c>
      <c r="J251">
        <f>IF(AND(W36!F15&lt;&gt;"",W36!F15&lt;&gt;"✗"),1,0)</f>
        <v/>
      </c>
      <c r="K251">
        <f>IF(AND(W36!F16&lt;&gt;"",W36!F16&lt;&gt;"✗"),1,0)</f>
        <v/>
      </c>
      <c r="L251">
        <f>IF(AND(W36!F17&lt;&gt;"",W36!F17&lt;&gt;"✗"),1,0)</f>
        <v/>
      </c>
      <c r="M251">
        <f>IF(AND(W36!F18&lt;&gt;"",W36!F18&lt;&gt;"✗"),1,0)</f>
        <v/>
      </c>
      <c r="O251">
        <f>IF(D251=1,O250+1,0)</f>
        <v/>
      </c>
      <c r="P251">
        <f>IF(E251=1,P250+1,0)</f>
        <v/>
      </c>
      <c r="Q251">
        <f>IF(F251=1,Q250+1,0)</f>
        <v/>
      </c>
      <c r="R251">
        <f>IF(G251=1,R250+1,0)</f>
        <v/>
      </c>
      <c r="S251">
        <f>IF(H251=1,S250+1,0)</f>
        <v/>
      </c>
      <c r="T251">
        <f>IF(I251=1,T250+1,0)</f>
        <v/>
      </c>
      <c r="U251">
        <f>IF(J251=1,U250+1,0)</f>
        <v/>
      </c>
      <c r="V251">
        <f>IF(K251=1,V250+1,0)</f>
        <v/>
      </c>
      <c r="W251">
        <f>IF(L251=1,W250+1,0)</f>
        <v/>
      </c>
      <c r="X251">
        <f>IF(M251=1,X250+1,0)</f>
        <v/>
      </c>
    </row>
    <row r="252">
      <c r="A252" s="58">
        <f>'Start Here'!$E$6+249</f>
        <v/>
      </c>
      <c r="B252" t="n">
        <v>36</v>
      </c>
      <c r="C252" t="inlineStr">
        <is>
          <t>FRI</t>
        </is>
      </c>
      <c r="D252">
        <f>IF(AND(W36!G9&lt;&gt;"",W36!G9&lt;&gt;"✗"),1,0)</f>
        <v/>
      </c>
      <c r="E252">
        <f>IF(AND(W36!G10&lt;&gt;"",W36!G10&lt;&gt;"✗"),1,0)</f>
        <v/>
      </c>
      <c r="F252">
        <f>IF(AND(W36!G11&lt;&gt;"",W36!G11&lt;&gt;"✗"),1,0)</f>
        <v/>
      </c>
      <c r="G252">
        <f>IF(AND(W36!G12&lt;&gt;"",W36!G12&lt;&gt;"✗"),1,0)</f>
        <v/>
      </c>
      <c r="H252">
        <f>IF(AND(W36!G13&lt;&gt;"",W36!G13&lt;&gt;"✗"),1,0)</f>
        <v/>
      </c>
      <c r="I252">
        <f>IF(AND(W36!G14&lt;&gt;"",W36!G14&lt;&gt;"✗"),1,0)</f>
        <v/>
      </c>
      <c r="J252">
        <f>IF(AND(W36!G15&lt;&gt;"",W36!G15&lt;&gt;"✗"),1,0)</f>
        <v/>
      </c>
      <c r="K252">
        <f>IF(AND(W36!G16&lt;&gt;"",W36!G16&lt;&gt;"✗"),1,0)</f>
        <v/>
      </c>
      <c r="L252">
        <f>IF(AND(W36!G17&lt;&gt;"",W36!G17&lt;&gt;"✗"),1,0)</f>
        <v/>
      </c>
      <c r="M252">
        <f>IF(AND(W36!G18&lt;&gt;"",W36!G18&lt;&gt;"✗"),1,0)</f>
        <v/>
      </c>
      <c r="O252">
        <f>IF(D252=1,O251+1,0)</f>
        <v/>
      </c>
      <c r="P252">
        <f>IF(E252=1,P251+1,0)</f>
        <v/>
      </c>
      <c r="Q252">
        <f>IF(F252=1,Q251+1,0)</f>
        <v/>
      </c>
      <c r="R252">
        <f>IF(G252=1,R251+1,0)</f>
        <v/>
      </c>
      <c r="S252">
        <f>IF(H252=1,S251+1,0)</f>
        <v/>
      </c>
      <c r="T252">
        <f>IF(I252=1,T251+1,0)</f>
        <v/>
      </c>
      <c r="U252">
        <f>IF(J252=1,U251+1,0)</f>
        <v/>
      </c>
      <c r="V252">
        <f>IF(K252=1,V251+1,0)</f>
        <v/>
      </c>
      <c r="W252">
        <f>IF(L252=1,W251+1,0)</f>
        <v/>
      </c>
      <c r="X252">
        <f>IF(M252=1,X251+1,0)</f>
        <v/>
      </c>
    </row>
    <row r="253">
      <c r="A253" s="58">
        <f>'Start Here'!$E$6+250</f>
        <v/>
      </c>
      <c r="B253" t="n">
        <v>36</v>
      </c>
      <c r="C253" t="inlineStr">
        <is>
          <t>SAT</t>
        </is>
      </c>
      <c r="D253">
        <f>IF(AND(W36!H9&lt;&gt;"",W36!H9&lt;&gt;"✗"),1,0)</f>
        <v/>
      </c>
      <c r="E253">
        <f>IF(AND(W36!H10&lt;&gt;"",W36!H10&lt;&gt;"✗"),1,0)</f>
        <v/>
      </c>
      <c r="F253">
        <f>IF(AND(W36!H11&lt;&gt;"",W36!H11&lt;&gt;"✗"),1,0)</f>
        <v/>
      </c>
      <c r="G253">
        <f>IF(AND(W36!H12&lt;&gt;"",W36!H12&lt;&gt;"✗"),1,0)</f>
        <v/>
      </c>
      <c r="H253">
        <f>IF(AND(W36!H13&lt;&gt;"",W36!H13&lt;&gt;"✗"),1,0)</f>
        <v/>
      </c>
      <c r="I253">
        <f>IF(AND(W36!H14&lt;&gt;"",W36!H14&lt;&gt;"✗"),1,0)</f>
        <v/>
      </c>
      <c r="J253">
        <f>IF(AND(W36!H15&lt;&gt;"",W36!H15&lt;&gt;"✗"),1,0)</f>
        <v/>
      </c>
      <c r="K253">
        <f>IF(AND(W36!H16&lt;&gt;"",W36!H16&lt;&gt;"✗"),1,0)</f>
        <v/>
      </c>
      <c r="L253">
        <f>IF(AND(W36!H17&lt;&gt;"",W36!H17&lt;&gt;"✗"),1,0)</f>
        <v/>
      </c>
      <c r="M253">
        <f>IF(AND(W36!H18&lt;&gt;"",W36!H18&lt;&gt;"✗"),1,0)</f>
        <v/>
      </c>
      <c r="O253">
        <f>IF(D253=1,O252+1,0)</f>
        <v/>
      </c>
      <c r="P253">
        <f>IF(E253=1,P252+1,0)</f>
        <v/>
      </c>
      <c r="Q253">
        <f>IF(F253=1,Q252+1,0)</f>
        <v/>
      </c>
      <c r="R253">
        <f>IF(G253=1,R252+1,0)</f>
        <v/>
      </c>
      <c r="S253">
        <f>IF(H253=1,S252+1,0)</f>
        <v/>
      </c>
      <c r="T253">
        <f>IF(I253=1,T252+1,0)</f>
        <v/>
      </c>
      <c r="U253">
        <f>IF(J253=1,U252+1,0)</f>
        <v/>
      </c>
      <c r="V253">
        <f>IF(K253=1,V252+1,0)</f>
        <v/>
      </c>
      <c r="W253">
        <f>IF(L253=1,W252+1,0)</f>
        <v/>
      </c>
      <c r="X253">
        <f>IF(M253=1,X252+1,0)</f>
        <v/>
      </c>
    </row>
    <row r="254">
      <c r="A254" s="58">
        <f>'Start Here'!$E$6+251</f>
        <v/>
      </c>
      <c r="B254" t="n">
        <v>36</v>
      </c>
      <c r="C254" t="inlineStr">
        <is>
          <t>SUN</t>
        </is>
      </c>
      <c r="D254">
        <f>IF(AND(W36!I9&lt;&gt;"",W36!I9&lt;&gt;"✗"),1,0)</f>
        <v/>
      </c>
      <c r="E254">
        <f>IF(AND(W36!I10&lt;&gt;"",W36!I10&lt;&gt;"✗"),1,0)</f>
        <v/>
      </c>
      <c r="F254">
        <f>IF(AND(W36!I11&lt;&gt;"",W36!I11&lt;&gt;"✗"),1,0)</f>
        <v/>
      </c>
      <c r="G254">
        <f>IF(AND(W36!I12&lt;&gt;"",W36!I12&lt;&gt;"✗"),1,0)</f>
        <v/>
      </c>
      <c r="H254">
        <f>IF(AND(W36!I13&lt;&gt;"",W36!I13&lt;&gt;"✗"),1,0)</f>
        <v/>
      </c>
      <c r="I254">
        <f>IF(AND(W36!I14&lt;&gt;"",W36!I14&lt;&gt;"✗"),1,0)</f>
        <v/>
      </c>
      <c r="J254">
        <f>IF(AND(W36!I15&lt;&gt;"",W36!I15&lt;&gt;"✗"),1,0)</f>
        <v/>
      </c>
      <c r="K254">
        <f>IF(AND(W36!I16&lt;&gt;"",W36!I16&lt;&gt;"✗"),1,0)</f>
        <v/>
      </c>
      <c r="L254">
        <f>IF(AND(W36!I17&lt;&gt;"",W36!I17&lt;&gt;"✗"),1,0)</f>
        <v/>
      </c>
      <c r="M254">
        <f>IF(AND(W36!I18&lt;&gt;"",W36!I18&lt;&gt;"✗"),1,0)</f>
        <v/>
      </c>
      <c r="O254">
        <f>IF(D254=1,O253+1,0)</f>
        <v/>
      </c>
      <c r="P254">
        <f>IF(E254=1,P253+1,0)</f>
        <v/>
      </c>
      <c r="Q254">
        <f>IF(F254=1,Q253+1,0)</f>
        <v/>
      </c>
      <c r="R254">
        <f>IF(G254=1,R253+1,0)</f>
        <v/>
      </c>
      <c r="S254">
        <f>IF(H254=1,S253+1,0)</f>
        <v/>
      </c>
      <c r="T254">
        <f>IF(I254=1,T253+1,0)</f>
        <v/>
      </c>
      <c r="U254">
        <f>IF(J254=1,U253+1,0)</f>
        <v/>
      </c>
      <c r="V254">
        <f>IF(K254=1,V253+1,0)</f>
        <v/>
      </c>
      <c r="W254">
        <f>IF(L254=1,W253+1,0)</f>
        <v/>
      </c>
      <c r="X254">
        <f>IF(M254=1,X253+1,0)</f>
        <v/>
      </c>
    </row>
    <row r="255">
      <c r="A255" s="58">
        <f>'Start Here'!$E$6+252</f>
        <v/>
      </c>
      <c r="B255" t="n">
        <v>37</v>
      </c>
      <c r="C255" t="inlineStr">
        <is>
          <t>MON</t>
        </is>
      </c>
      <c r="D255">
        <f>IF(AND(W37!C9&lt;&gt;"",W37!C9&lt;&gt;"✗"),1,0)</f>
        <v/>
      </c>
      <c r="E255">
        <f>IF(AND(W37!C10&lt;&gt;"",W37!C10&lt;&gt;"✗"),1,0)</f>
        <v/>
      </c>
      <c r="F255">
        <f>IF(AND(W37!C11&lt;&gt;"",W37!C11&lt;&gt;"✗"),1,0)</f>
        <v/>
      </c>
      <c r="G255">
        <f>IF(AND(W37!C12&lt;&gt;"",W37!C12&lt;&gt;"✗"),1,0)</f>
        <v/>
      </c>
      <c r="H255">
        <f>IF(AND(W37!C13&lt;&gt;"",W37!C13&lt;&gt;"✗"),1,0)</f>
        <v/>
      </c>
      <c r="I255">
        <f>IF(AND(W37!C14&lt;&gt;"",W37!C14&lt;&gt;"✗"),1,0)</f>
        <v/>
      </c>
      <c r="J255">
        <f>IF(AND(W37!C15&lt;&gt;"",W37!C15&lt;&gt;"✗"),1,0)</f>
        <v/>
      </c>
      <c r="K255">
        <f>IF(AND(W37!C16&lt;&gt;"",W37!C16&lt;&gt;"✗"),1,0)</f>
        <v/>
      </c>
      <c r="L255">
        <f>IF(AND(W37!C17&lt;&gt;"",W37!C17&lt;&gt;"✗"),1,0)</f>
        <v/>
      </c>
      <c r="M255">
        <f>IF(AND(W37!C18&lt;&gt;"",W37!C18&lt;&gt;"✗"),1,0)</f>
        <v/>
      </c>
      <c r="O255">
        <f>IF(D255=1,O254+1,0)</f>
        <v/>
      </c>
      <c r="P255">
        <f>IF(E255=1,P254+1,0)</f>
        <v/>
      </c>
      <c r="Q255">
        <f>IF(F255=1,Q254+1,0)</f>
        <v/>
      </c>
      <c r="R255">
        <f>IF(G255=1,R254+1,0)</f>
        <v/>
      </c>
      <c r="S255">
        <f>IF(H255=1,S254+1,0)</f>
        <v/>
      </c>
      <c r="T255">
        <f>IF(I255=1,T254+1,0)</f>
        <v/>
      </c>
      <c r="U255">
        <f>IF(J255=1,U254+1,0)</f>
        <v/>
      </c>
      <c r="V255">
        <f>IF(K255=1,V254+1,0)</f>
        <v/>
      </c>
      <c r="W255">
        <f>IF(L255=1,W254+1,0)</f>
        <v/>
      </c>
      <c r="X255">
        <f>IF(M255=1,X254+1,0)</f>
        <v/>
      </c>
    </row>
    <row r="256">
      <c r="A256" s="58">
        <f>'Start Here'!$E$6+253</f>
        <v/>
      </c>
      <c r="B256" t="n">
        <v>37</v>
      </c>
      <c r="C256" t="inlineStr">
        <is>
          <t>TUE</t>
        </is>
      </c>
      <c r="D256">
        <f>IF(AND(W37!D9&lt;&gt;"",W37!D9&lt;&gt;"✗"),1,0)</f>
        <v/>
      </c>
      <c r="E256">
        <f>IF(AND(W37!D10&lt;&gt;"",W37!D10&lt;&gt;"✗"),1,0)</f>
        <v/>
      </c>
      <c r="F256">
        <f>IF(AND(W37!D11&lt;&gt;"",W37!D11&lt;&gt;"✗"),1,0)</f>
        <v/>
      </c>
      <c r="G256">
        <f>IF(AND(W37!D12&lt;&gt;"",W37!D12&lt;&gt;"✗"),1,0)</f>
        <v/>
      </c>
      <c r="H256">
        <f>IF(AND(W37!D13&lt;&gt;"",W37!D13&lt;&gt;"✗"),1,0)</f>
        <v/>
      </c>
      <c r="I256">
        <f>IF(AND(W37!D14&lt;&gt;"",W37!D14&lt;&gt;"✗"),1,0)</f>
        <v/>
      </c>
      <c r="J256">
        <f>IF(AND(W37!D15&lt;&gt;"",W37!D15&lt;&gt;"✗"),1,0)</f>
        <v/>
      </c>
      <c r="K256">
        <f>IF(AND(W37!D16&lt;&gt;"",W37!D16&lt;&gt;"✗"),1,0)</f>
        <v/>
      </c>
      <c r="L256">
        <f>IF(AND(W37!D17&lt;&gt;"",W37!D17&lt;&gt;"✗"),1,0)</f>
        <v/>
      </c>
      <c r="M256">
        <f>IF(AND(W37!D18&lt;&gt;"",W37!D18&lt;&gt;"✗"),1,0)</f>
        <v/>
      </c>
      <c r="O256">
        <f>IF(D256=1,O255+1,0)</f>
        <v/>
      </c>
      <c r="P256">
        <f>IF(E256=1,P255+1,0)</f>
        <v/>
      </c>
      <c r="Q256">
        <f>IF(F256=1,Q255+1,0)</f>
        <v/>
      </c>
      <c r="R256">
        <f>IF(G256=1,R255+1,0)</f>
        <v/>
      </c>
      <c r="S256">
        <f>IF(H256=1,S255+1,0)</f>
        <v/>
      </c>
      <c r="T256">
        <f>IF(I256=1,T255+1,0)</f>
        <v/>
      </c>
      <c r="U256">
        <f>IF(J256=1,U255+1,0)</f>
        <v/>
      </c>
      <c r="V256">
        <f>IF(K256=1,V255+1,0)</f>
        <v/>
      </c>
      <c r="W256">
        <f>IF(L256=1,W255+1,0)</f>
        <v/>
      </c>
      <c r="X256">
        <f>IF(M256=1,X255+1,0)</f>
        <v/>
      </c>
    </row>
    <row r="257">
      <c r="A257" s="58">
        <f>'Start Here'!$E$6+254</f>
        <v/>
      </c>
      <c r="B257" t="n">
        <v>37</v>
      </c>
      <c r="C257" t="inlineStr">
        <is>
          <t>WED</t>
        </is>
      </c>
      <c r="D257">
        <f>IF(AND(W37!E9&lt;&gt;"",W37!E9&lt;&gt;"✗"),1,0)</f>
        <v/>
      </c>
      <c r="E257">
        <f>IF(AND(W37!E10&lt;&gt;"",W37!E10&lt;&gt;"✗"),1,0)</f>
        <v/>
      </c>
      <c r="F257">
        <f>IF(AND(W37!E11&lt;&gt;"",W37!E11&lt;&gt;"✗"),1,0)</f>
        <v/>
      </c>
      <c r="G257">
        <f>IF(AND(W37!E12&lt;&gt;"",W37!E12&lt;&gt;"✗"),1,0)</f>
        <v/>
      </c>
      <c r="H257">
        <f>IF(AND(W37!E13&lt;&gt;"",W37!E13&lt;&gt;"✗"),1,0)</f>
        <v/>
      </c>
      <c r="I257">
        <f>IF(AND(W37!E14&lt;&gt;"",W37!E14&lt;&gt;"✗"),1,0)</f>
        <v/>
      </c>
      <c r="J257">
        <f>IF(AND(W37!E15&lt;&gt;"",W37!E15&lt;&gt;"✗"),1,0)</f>
        <v/>
      </c>
      <c r="K257">
        <f>IF(AND(W37!E16&lt;&gt;"",W37!E16&lt;&gt;"✗"),1,0)</f>
        <v/>
      </c>
      <c r="L257">
        <f>IF(AND(W37!E17&lt;&gt;"",W37!E17&lt;&gt;"✗"),1,0)</f>
        <v/>
      </c>
      <c r="M257">
        <f>IF(AND(W37!E18&lt;&gt;"",W37!E18&lt;&gt;"✗"),1,0)</f>
        <v/>
      </c>
      <c r="O257">
        <f>IF(D257=1,O256+1,0)</f>
        <v/>
      </c>
      <c r="P257">
        <f>IF(E257=1,P256+1,0)</f>
        <v/>
      </c>
      <c r="Q257">
        <f>IF(F257=1,Q256+1,0)</f>
        <v/>
      </c>
      <c r="R257">
        <f>IF(G257=1,R256+1,0)</f>
        <v/>
      </c>
      <c r="S257">
        <f>IF(H257=1,S256+1,0)</f>
        <v/>
      </c>
      <c r="T257">
        <f>IF(I257=1,T256+1,0)</f>
        <v/>
      </c>
      <c r="U257">
        <f>IF(J257=1,U256+1,0)</f>
        <v/>
      </c>
      <c r="V257">
        <f>IF(K257=1,V256+1,0)</f>
        <v/>
      </c>
      <c r="W257">
        <f>IF(L257=1,W256+1,0)</f>
        <v/>
      </c>
      <c r="X257">
        <f>IF(M257=1,X256+1,0)</f>
        <v/>
      </c>
    </row>
    <row r="258">
      <c r="A258" s="58">
        <f>'Start Here'!$E$6+255</f>
        <v/>
      </c>
      <c r="B258" t="n">
        <v>37</v>
      </c>
      <c r="C258" t="inlineStr">
        <is>
          <t>THU</t>
        </is>
      </c>
      <c r="D258">
        <f>IF(AND(W37!F9&lt;&gt;"",W37!F9&lt;&gt;"✗"),1,0)</f>
        <v/>
      </c>
      <c r="E258">
        <f>IF(AND(W37!F10&lt;&gt;"",W37!F10&lt;&gt;"✗"),1,0)</f>
        <v/>
      </c>
      <c r="F258">
        <f>IF(AND(W37!F11&lt;&gt;"",W37!F11&lt;&gt;"✗"),1,0)</f>
        <v/>
      </c>
      <c r="G258">
        <f>IF(AND(W37!F12&lt;&gt;"",W37!F12&lt;&gt;"✗"),1,0)</f>
        <v/>
      </c>
      <c r="H258">
        <f>IF(AND(W37!F13&lt;&gt;"",W37!F13&lt;&gt;"✗"),1,0)</f>
        <v/>
      </c>
      <c r="I258">
        <f>IF(AND(W37!F14&lt;&gt;"",W37!F14&lt;&gt;"✗"),1,0)</f>
        <v/>
      </c>
      <c r="J258">
        <f>IF(AND(W37!F15&lt;&gt;"",W37!F15&lt;&gt;"✗"),1,0)</f>
        <v/>
      </c>
      <c r="K258">
        <f>IF(AND(W37!F16&lt;&gt;"",W37!F16&lt;&gt;"✗"),1,0)</f>
        <v/>
      </c>
      <c r="L258">
        <f>IF(AND(W37!F17&lt;&gt;"",W37!F17&lt;&gt;"✗"),1,0)</f>
        <v/>
      </c>
      <c r="M258">
        <f>IF(AND(W37!F18&lt;&gt;"",W37!F18&lt;&gt;"✗"),1,0)</f>
        <v/>
      </c>
      <c r="O258">
        <f>IF(D258=1,O257+1,0)</f>
        <v/>
      </c>
      <c r="P258">
        <f>IF(E258=1,P257+1,0)</f>
        <v/>
      </c>
      <c r="Q258">
        <f>IF(F258=1,Q257+1,0)</f>
        <v/>
      </c>
      <c r="R258">
        <f>IF(G258=1,R257+1,0)</f>
        <v/>
      </c>
      <c r="S258">
        <f>IF(H258=1,S257+1,0)</f>
        <v/>
      </c>
      <c r="T258">
        <f>IF(I258=1,T257+1,0)</f>
        <v/>
      </c>
      <c r="U258">
        <f>IF(J258=1,U257+1,0)</f>
        <v/>
      </c>
      <c r="V258">
        <f>IF(K258=1,V257+1,0)</f>
        <v/>
      </c>
      <c r="W258">
        <f>IF(L258=1,W257+1,0)</f>
        <v/>
      </c>
      <c r="X258">
        <f>IF(M258=1,X257+1,0)</f>
        <v/>
      </c>
    </row>
    <row r="259">
      <c r="A259" s="58">
        <f>'Start Here'!$E$6+256</f>
        <v/>
      </c>
      <c r="B259" t="n">
        <v>37</v>
      </c>
      <c r="C259" t="inlineStr">
        <is>
          <t>FRI</t>
        </is>
      </c>
      <c r="D259">
        <f>IF(AND(W37!G9&lt;&gt;"",W37!G9&lt;&gt;"✗"),1,0)</f>
        <v/>
      </c>
      <c r="E259">
        <f>IF(AND(W37!G10&lt;&gt;"",W37!G10&lt;&gt;"✗"),1,0)</f>
        <v/>
      </c>
      <c r="F259">
        <f>IF(AND(W37!G11&lt;&gt;"",W37!G11&lt;&gt;"✗"),1,0)</f>
        <v/>
      </c>
      <c r="G259">
        <f>IF(AND(W37!G12&lt;&gt;"",W37!G12&lt;&gt;"✗"),1,0)</f>
        <v/>
      </c>
      <c r="H259">
        <f>IF(AND(W37!G13&lt;&gt;"",W37!G13&lt;&gt;"✗"),1,0)</f>
        <v/>
      </c>
      <c r="I259">
        <f>IF(AND(W37!G14&lt;&gt;"",W37!G14&lt;&gt;"✗"),1,0)</f>
        <v/>
      </c>
      <c r="J259">
        <f>IF(AND(W37!G15&lt;&gt;"",W37!G15&lt;&gt;"✗"),1,0)</f>
        <v/>
      </c>
      <c r="K259">
        <f>IF(AND(W37!G16&lt;&gt;"",W37!G16&lt;&gt;"✗"),1,0)</f>
        <v/>
      </c>
      <c r="L259">
        <f>IF(AND(W37!G17&lt;&gt;"",W37!G17&lt;&gt;"✗"),1,0)</f>
        <v/>
      </c>
      <c r="M259">
        <f>IF(AND(W37!G18&lt;&gt;"",W37!G18&lt;&gt;"✗"),1,0)</f>
        <v/>
      </c>
      <c r="O259">
        <f>IF(D259=1,O258+1,0)</f>
        <v/>
      </c>
      <c r="P259">
        <f>IF(E259=1,P258+1,0)</f>
        <v/>
      </c>
      <c r="Q259">
        <f>IF(F259=1,Q258+1,0)</f>
        <v/>
      </c>
      <c r="R259">
        <f>IF(G259=1,R258+1,0)</f>
        <v/>
      </c>
      <c r="S259">
        <f>IF(H259=1,S258+1,0)</f>
        <v/>
      </c>
      <c r="T259">
        <f>IF(I259=1,T258+1,0)</f>
        <v/>
      </c>
      <c r="U259">
        <f>IF(J259=1,U258+1,0)</f>
        <v/>
      </c>
      <c r="V259">
        <f>IF(K259=1,V258+1,0)</f>
        <v/>
      </c>
      <c r="W259">
        <f>IF(L259=1,W258+1,0)</f>
        <v/>
      </c>
      <c r="X259">
        <f>IF(M259=1,X258+1,0)</f>
        <v/>
      </c>
    </row>
    <row r="260">
      <c r="A260" s="58">
        <f>'Start Here'!$E$6+257</f>
        <v/>
      </c>
      <c r="B260" t="n">
        <v>37</v>
      </c>
      <c r="C260" t="inlineStr">
        <is>
          <t>SAT</t>
        </is>
      </c>
      <c r="D260">
        <f>IF(AND(W37!H9&lt;&gt;"",W37!H9&lt;&gt;"✗"),1,0)</f>
        <v/>
      </c>
      <c r="E260">
        <f>IF(AND(W37!H10&lt;&gt;"",W37!H10&lt;&gt;"✗"),1,0)</f>
        <v/>
      </c>
      <c r="F260">
        <f>IF(AND(W37!H11&lt;&gt;"",W37!H11&lt;&gt;"✗"),1,0)</f>
        <v/>
      </c>
      <c r="G260">
        <f>IF(AND(W37!H12&lt;&gt;"",W37!H12&lt;&gt;"✗"),1,0)</f>
        <v/>
      </c>
      <c r="H260">
        <f>IF(AND(W37!H13&lt;&gt;"",W37!H13&lt;&gt;"✗"),1,0)</f>
        <v/>
      </c>
      <c r="I260">
        <f>IF(AND(W37!H14&lt;&gt;"",W37!H14&lt;&gt;"✗"),1,0)</f>
        <v/>
      </c>
      <c r="J260">
        <f>IF(AND(W37!H15&lt;&gt;"",W37!H15&lt;&gt;"✗"),1,0)</f>
        <v/>
      </c>
      <c r="K260">
        <f>IF(AND(W37!H16&lt;&gt;"",W37!H16&lt;&gt;"✗"),1,0)</f>
        <v/>
      </c>
      <c r="L260">
        <f>IF(AND(W37!H17&lt;&gt;"",W37!H17&lt;&gt;"✗"),1,0)</f>
        <v/>
      </c>
      <c r="M260">
        <f>IF(AND(W37!H18&lt;&gt;"",W37!H18&lt;&gt;"✗"),1,0)</f>
        <v/>
      </c>
      <c r="O260">
        <f>IF(D260=1,O259+1,0)</f>
        <v/>
      </c>
      <c r="P260">
        <f>IF(E260=1,P259+1,0)</f>
        <v/>
      </c>
      <c r="Q260">
        <f>IF(F260=1,Q259+1,0)</f>
        <v/>
      </c>
      <c r="R260">
        <f>IF(G260=1,R259+1,0)</f>
        <v/>
      </c>
      <c r="S260">
        <f>IF(H260=1,S259+1,0)</f>
        <v/>
      </c>
      <c r="T260">
        <f>IF(I260=1,T259+1,0)</f>
        <v/>
      </c>
      <c r="U260">
        <f>IF(J260=1,U259+1,0)</f>
        <v/>
      </c>
      <c r="V260">
        <f>IF(K260=1,V259+1,0)</f>
        <v/>
      </c>
      <c r="W260">
        <f>IF(L260=1,W259+1,0)</f>
        <v/>
      </c>
      <c r="X260">
        <f>IF(M260=1,X259+1,0)</f>
        <v/>
      </c>
    </row>
    <row r="261">
      <c r="A261" s="58">
        <f>'Start Here'!$E$6+258</f>
        <v/>
      </c>
      <c r="B261" t="n">
        <v>37</v>
      </c>
      <c r="C261" t="inlineStr">
        <is>
          <t>SUN</t>
        </is>
      </c>
      <c r="D261">
        <f>IF(AND(W37!I9&lt;&gt;"",W37!I9&lt;&gt;"✗"),1,0)</f>
        <v/>
      </c>
      <c r="E261">
        <f>IF(AND(W37!I10&lt;&gt;"",W37!I10&lt;&gt;"✗"),1,0)</f>
        <v/>
      </c>
      <c r="F261">
        <f>IF(AND(W37!I11&lt;&gt;"",W37!I11&lt;&gt;"✗"),1,0)</f>
        <v/>
      </c>
      <c r="G261">
        <f>IF(AND(W37!I12&lt;&gt;"",W37!I12&lt;&gt;"✗"),1,0)</f>
        <v/>
      </c>
      <c r="H261">
        <f>IF(AND(W37!I13&lt;&gt;"",W37!I13&lt;&gt;"✗"),1,0)</f>
        <v/>
      </c>
      <c r="I261">
        <f>IF(AND(W37!I14&lt;&gt;"",W37!I14&lt;&gt;"✗"),1,0)</f>
        <v/>
      </c>
      <c r="J261">
        <f>IF(AND(W37!I15&lt;&gt;"",W37!I15&lt;&gt;"✗"),1,0)</f>
        <v/>
      </c>
      <c r="K261">
        <f>IF(AND(W37!I16&lt;&gt;"",W37!I16&lt;&gt;"✗"),1,0)</f>
        <v/>
      </c>
      <c r="L261">
        <f>IF(AND(W37!I17&lt;&gt;"",W37!I17&lt;&gt;"✗"),1,0)</f>
        <v/>
      </c>
      <c r="M261">
        <f>IF(AND(W37!I18&lt;&gt;"",W37!I18&lt;&gt;"✗"),1,0)</f>
        <v/>
      </c>
      <c r="O261">
        <f>IF(D261=1,O260+1,0)</f>
        <v/>
      </c>
      <c r="P261">
        <f>IF(E261=1,P260+1,0)</f>
        <v/>
      </c>
      <c r="Q261">
        <f>IF(F261=1,Q260+1,0)</f>
        <v/>
      </c>
      <c r="R261">
        <f>IF(G261=1,R260+1,0)</f>
        <v/>
      </c>
      <c r="S261">
        <f>IF(H261=1,S260+1,0)</f>
        <v/>
      </c>
      <c r="T261">
        <f>IF(I261=1,T260+1,0)</f>
        <v/>
      </c>
      <c r="U261">
        <f>IF(J261=1,U260+1,0)</f>
        <v/>
      </c>
      <c r="V261">
        <f>IF(K261=1,V260+1,0)</f>
        <v/>
      </c>
      <c r="W261">
        <f>IF(L261=1,W260+1,0)</f>
        <v/>
      </c>
      <c r="X261">
        <f>IF(M261=1,X260+1,0)</f>
        <v/>
      </c>
    </row>
    <row r="262">
      <c r="A262" s="58">
        <f>'Start Here'!$E$6+259</f>
        <v/>
      </c>
      <c r="B262" t="n">
        <v>38</v>
      </c>
      <c r="C262" t="inlineStr">
        <is>
          <t>MON</t>
        </is>
      </c>
      <c r="D262">
        <f>IF(AND(W38!C9&lt;&gt;"",W38!C9&lt;&gt;"✗"),1,0)</f>
        <v/>
      </c>
      <c r="E262">
        <f>IF(AND(W38!C10&lt;&gt;"",W38!C10&lt;&gt;"✗"),1,0)</f>
        <v/>
      </c>
      <c r="F262">
        <f>IF(AND(W38!C11&lt;&gt;"",W38!C11&lt;&gt;"✗"),1,0)</f>
        <v/>
      </c>
      <c r="G262">
        <f>IF(AND(W38!C12&lt;&gt;"",W38!C12&lt;&gt;"✗"),1,0)</f>
        <v/>
      </c>
      <c r="H262">
        <f>IF(AND(W38!C13&lt;&gt;"",W38!C13&lt;&gt;"✗"),1,0)</f>
        <v/>
      </c>
      <c r="I262">
        <f>IF(AND(W38!C14&lt;&gt;"",W38!C14&lt;&gt;"✗"),1,0)</f>
        <v/>
      </c>
      <c r="J262">
        <f>IF(AND(W38!C15&lt;&gt;"",W38!C15&lt;&gt;"✗"),1,0)</f>
        <v/>
      </c>
      <c r="K262">
        <f>IF(AND(W38!C16&lt;&gt;"",W38!C16&lt;&gt;"✗"),1,0)</f>
        <v/>
      </c>
      <c r="L262">
        <f>IF(AND(W38!C17&lt;&gt;"",W38!C17&lt;&gt;"✗"),1,0)</f>
        <v/>
      </c>
      <c r="M262">
        <f>IF(AND(W38!C18&lt;&gt;"",W38!C18&lt;&gt;"✗"),1,0)</f>
        <v/>
      </c>
      <c r="O262">
        <f>IF(D262=1,O261+1,0)</f>
        <v/>
      </c>
      <c r="P262">
        <f>IF(E262=1,P261+1,0)</f>
        <v/>
      </c>
      <c r="Q262">
        <f>IF(F262=1,Q261+1,0)</f>
        <v/>
      </c>
      <c r="R262">
        <f>IF(G262=1,R261+1,0)</f>
        <v/>
      </c>
      <c r="S262">
        <f>IF(H262=1,S261+1,0)</f>
        <v/>
      </c>
      <c r="T262">
        <f>IF(I262=1,T261+1,0)</f>
        <v/>
      </c>
      <c r="U262">
        <f>IF(J262=1,U261+1,0)</f>
        <v/>
      </c>
      <c r="V262">
        <f>IF(K262=1,V261+1,0)</f>
        <v/>
      </c>
      <c r="W262">
        <f>IF(L262=1,W261+1,0)</f>
        <v/>
      </c>
      <c r="X262">
        <f>IF(M262=1,X261+1,0)</f>
        <v/>
      </c>
    </row>
    <row r="263">
      <c r="A263" s="58">
        <f>'Start Here'!$E$6+260</f>
        <v/>
      </c>
      <c r="B263" t="n">
        <v>38</v>
      </c>
      <c r="C263" t="inlineStr">
        <is>
          <t>TUE</t>
        </is>
      </c>
      <c r="D263">
        <f>IF(AND(W38!D9&lt;&gt;"",W38!D9&lt;&gt;"✗"),1,0)</f>
        <v/>
      </c>
      <c r="E263">
        <f>IF(AND(W38!D10&lt;&gt;"",W38!D10&lt;&gt;"✗"),1,0)</f>
        <v/>
      </c>
      <c r="F263">
        <f>IF(AND(W38!D11&lt;&gt;"",W38!D11&lt;&gt;"✗"),1,0)</f>
        <v/>
      </c>
      <c r="G263">
        <f>IF(AND(W38!D12&lt;&gt;"",W38!D12&lt;&gt;"✗"),1,0)</f>
        <v/>
      </c>
      <c r="H263">
        <f>IF(AND(W38!D13&lt;&gt;"",W38!D13&lt;&gt;"✗"),1,0)</f>
        <v/>
      </c>
      <c r="I263">
        <f>IF(AND(W38!D14&lt;&gt;"",W38!D14&lt;&gt;"✗"),1,0)</f>
        <v/>
      </c>
      <c r="J263">
        <f>IF(AND(W38!D15&lt;&gt;"",W38!D15&lt;&gt;"✗"),1,0)</f>
        <v/>
      </c>
      <c r="K263">
        <f>IF(AND(W38!D16&lt;&gt;"",W38!D16&lt;&gt;"✗"),1,0)</f>
        <v/>
      </c>
      <c r="L263">
        <f>IF(AND(W38!D17&lt;&gt;"",W38!D17&lt;&gt;"✗"),1,0)</f>
        <v/>
      </c>
      <c r="M263">
        <f>IF(AND(W38!D18&lt;&gt;"",W38!D18&lt;&gt;"✗"),1,0)</f>
        <v/>
      </c>
      <c r="O263">
        <f>IF(D263=1,O262+1,0)</f>
        <v/>
      </c>
      <c r="P263">
        <f>IF(E263=1,P262+1,0)</f>
        <v/>
      </c>
      <c r="Q263">
        <f>IF(F263=1,Q262+1,0)</f>
        <v/>
      </c>
      <c r="R263">
        <f>IF(G263=1,R262+1,0)</f>
        <v/>
      </c>
      <c r="S263">
        <f>IF(H263=1,S262+1,0)</f>
        <v/>
      </c>
      <c r="T263">
        <f>IF(I263=1,T262+1,0)</f>
        <v/>
      </c>
      <c r="U263">
        <f>IF(J263=1,U262+1,0)</f>
        <v/>
      </c>
      <c r="V263">
        <f>IF(K263=1,V262+1,0)</f>
        <v/>
      </c>
      <c r="W263">
        <f>IF(L263=1,W262+1,0)</f>
        <v/>
      </c>
      <c r="X263">
        <f>IF(M263=1,X262+1,0)</f>
        <v/>
      </c>
    </row>
    <row r="264">
      <c r="A264" s="58">
        <f>'Start Here'!$E$6+261</f>
        <v/>
      </c>
      <c r="B264" t="n">
        <v>38</v>
      </c>
      <c r="C264" t="inlineStr">
        <is>
          <t>WED</t>
        </is>
      </c>
      <c r="D264">
        <f>IF(AND(W38!E9&lt;&gt;"",W38!E9&lt;&gt;"✗"),1,0)</f>
        <v/>
      </c>
      <c r="E264">
        <f>IF(AND(W38!E10&lt;&gt;"",W38!E10&lt;&gt;"✗"),1,0)</f>
        <v/>
      </c>
      <c r="F264">
        <f>IF(AND(W38!E11&lt;&gt;"",W38!E11&lt;&gt;"✗"),1,0)</f>
        <v/>
      </c>
      <c r="G264">
        <f>IF(AND(W38!E12&lt;&gt;"",W38!E12&lt;&gt;"✗"),1,0)</f>
        <v/>
      </c>
      <c r="H264">
        <f>IF(AND(W38!E13&lt;&gt;"",W38!E13&lt;&gt;"✗"),1,0)</f>
        <v/>
      </c>
      <c r="I264">
        <f>IF(AND(W38!E14&lt;&gt;"",W38!E14&lt;&gt;"✗"),1,0)</f>
        <v/>
      </c>
      <c r="J264">
        <f>IF(AND(W38!E15&lt;&gt;"",W38!E15&lt;&gt;"✗"),1,0)</f>
        <v/>
      </c>
      <c r="K264">
        <f>IF(AND(W38!E16&lt;&gt;"",W38!E16&lt;&gt;"✗"),1,0)</f>
        <v/>
      </c>
      <c r="L264">
        <f>IF(AND(W38!E17&lt;&gt;"",W38!E17&lt;&gt;"✗"),1,0)</f>
        <v/>
      </c>
      <c r="M264">
        <f>IF(AND(W38!E18&lt;&gt;"",W38!E18&lt;&gt;"✗"),1,0)</f>
        <v/>
      </c>
      <c r="O264">
        <f>IF(D264=1,O263+1,0)</f>
        <v/>
      </c>
      <c r="P264">
        <f>IF(E264=1,P263+1,0)</f>
        <v/>
      </c>
      <c r="Q264">
        <f>IF(F264=1,Q263+1,0)</f>
        <v/>
      </c>
      <c r="R264">
        <f>IF(G264=1,R263+1,0)</f>
        <v/>
      </c>
      <c r="S264">
        <f>IF(H264=1,S263+1,0)</f>
        <v/>
      </c>
      <c r="T264">
        <f>IF(I264=1,T263+1,0)</f>
        <v/>
      </c>
      <c r="U264">
        <f>IF(J264=1,U263+1,0)</f>
        <v/>
      </c>
      <c r="V264">
        <f>IF(K264=1,V263+1,0)</f>
        <v/>
      </c>
      <c r="W264">
        <f>IF(L264=1,W263+1,0)</f>
        <v/>
      </c>
      <c r="X264">
        <f>IF(M264=1,X263+1,0)</f>
        <v/>
      </c>
    </row>
    <row r="265">
      <c r="A265" s="58">
        <f>'Start Here'!$E$6+262</f>
        <v/>
      </c>
      <c r="B265" t="n">
        <v>38</v>
      </c>
      <c r="C265" t="inlineStr">
        <is>
          <t>THU</t>
        </is>
      </c>
      <c r="D265">
        <f>IF(AND(W38!F9&lt;&gt;"",W38!F9&lt;&gt;"✗"),1,0)</f>
        <v/>
      </c>
      <c r="E265">
        <f>IF(AND(W38!F10&lt;&gt;"",W38!F10&lt;&gt;"✗"),1,0)</f>
        <v/>
      </c>
      <c r="F265">
        <f>IF(AND(W38!F11&lt;&gt;"",W38!F11&lt;&gt;"✗"),1,0)</f>
        <v/>
      </c>
      <c r="G265">
        <f>IF(AND(W38!F12&lt;&gt;"",W38!F12&lt;&gt;"✗"),1,0)</f>
        <v/>
      </c>
      <c r="H265">
        <f>IF(AND(W38!F13&lt;&gt;"",W38!F13&lt;&gt;"✗"),1,0)</f>
        <v/>
      </c>
      <c r="I265">
        <f>IF(AND(W38!F14&lt;&gt;"",W38!F14&lt;&gt;"✗"),1,0)</f>
        <v/>
      </c>
      <c r="J265">
        <f>IF(AND(W38!F15&lt;&gt;"",W38!F15&lt;&gt;"✗"),1,0)</f>
        <v/>
      </c>
      <c r="K265">
        <f>IF(AND(W38!F16&lt;&gt;"",W38!F16&lt;&gt;"✗"),1,0)</f>
        <v/>
      </c>
      <c r="L265">
        <f>IF(AND(W38!F17&lt;&gt;"",W38!F17&lt;&gt;"✗"),1,0)</f>
        <v/>
      </c>
      <c r="M265">
        <f>IF(AND(W38!F18&lt;&gt;"",W38!F18&lt;&gt;"✗"),1,0)</f>
        <v/>
      </c>
      <c r="O265">
        <f>IF(D265=1,O264+1,0)</f>
        <v/>
      </c>
      <c r="P265">
        <f>IF(E265=1,P264+1,0)</f>
        <v/>
      </c>
      <c r="Q265">
        <f>IF(F265=1,Q264+1,0)</f>
        <v/>
      </c>
      <c r="R265">
        <f>IF(G265=1,R264+1,0)</f>
        <v/>
      </c>
      <c r="S265">
        <f>IF(H265=1,S264+1,0)</f>
        <v/>
      </c>
      <c r="T265">
        <f>IF(I265=1,T264+1,0)</f>
        <v/>
      </c>
      <c r="U265">
        <f>IF(J265=1,U264+1,0)</f>
        <v/>
      </c>
      <c r="V265">
        <f>IF(K265=1,V264+1,0)</f>
        <v/>
      </c>
      <c r="W265">
        <f>IF(L265=1,W264+1,0)</f>
        <v/>
      </c>
      <c r="X265">
        <f>IF(M265=1,X264+1,0)</f>
        <v/>
      </c>
    </row>
    <row r="266">
      <c r="A266" s="58">
        <f>'Start Here'!$E$6+263</f>
        <v/>
      </c>
      <c r="B266" t="n">
        <v>38</v>
      </c>
      <c r="C266" t="inlineStr">
        <is>
          <t>FRI</t>
        </is>
      </c>
      <c r="D266">
        <f>IF(AND(W38!G9&lt;&gt;"",W38!G9&lt;&gt;"✗"),1,0)</f>
        <v/>
      </c>
      <c r="E266">
        <f>IF(AND(W38!G10&lt;&gt;"",W38!G10&lt;&gt;"✗"),1,0)</f>
        <v/>
      </c>
      <c r="F266">
        <f>IF(AND(W38!G11&lt;&gt;"",W38!G11&lt;&gt;"✗"),1,0)</f>
        <v/>
      </c>
      <c r="G266">
        <f>IF(AND(W38!G12&lt;&gt;"",W38!G12&lt;&gt;"✗"),1,0)</f>
        <v/>
      </c>
      <c r="H266">
        <f>IF(AND(W38!G13&lt;&gt;"",W38!G13&lt;&gt;"✗"),1,0)</f>
        <v/>
      </c>
      <c r="I266">
        <f>IF(AND(W38!G14&lt;&gt;"",W38!G14&lt;&gt;"✗"),1,0)</f>
        <v/>
      </c>
      <c r="J266">
        <f>IF(AND(W38!G15&lt;&gt;"",W38!G15&lt;&gt;"✗"),1,0)</f>
        <v/>
      </c>
      <c r="K266">
        <f>IF(AND(W38!G16&lt;&gt;"",W38!G16&lt;&gt;"✗"),1,0)</f>
        <v/>
      </c>
      <c r="L266">
        <f>IF(AND(W38!G17&lt;&gt;"",W38!G17&lt;&gt;"✗"),1,0)</f>
        <v/>
      </c>
      <c r="M266">
        <f>IF(AND(W38!G18&lt;&gt;"",W38!G18&lt;&gt;"✗"),1,0)</f>
        <v/>
      </c>
      <c r="O266">
        <f>IF(D266=1,O265+1,0)</f>
        <v/>
      </c>
      <c r="P266">
        <f>IF(E266=1,P265+1,0)</f>
        <v/>
      </c>
      <c r="Q266">
        <f>IF(F266=1,Q265+1,0)</f>
        <v/>
      </c>
      <c r="R266">
        <f>IF(G266=1,R265+1,0)</f>
        <v/>
      </c>
      <c r="S266">
        <f>IF(H266=1,S265+1,0)</f>
        <v/>
      </c>
      <c r="T266">
        <f>IF(I266=1,T265+1,0)</f>
        <v/>
      </c>
      <c r="U266">
        <f>IF(J266=1,U265+1,0)</f>
        <v/>
      </c>
      <c r="V266">
        <f>IF(K266=1,V265+1,0)</f>
        <v/>
      </c>
      <c r="W266">
        <f>IF(L266=1,W265+1,0)</f>
        <v/>
      </c>
      <c r="X266">
        <f>IF(M266=1,X265+1,0)</f>
        <v/>
      </c>
    </row>
    <row r="267">
      <c r="A267" s="58">
        <f>'Start Here'!$E$6+264</f>
        <v/>
      </c>
      <c r="B267" t="n">
        <v>38</v>
      </c>
      <c r="C267" t="inlineStr">
        <is>
          <t>SAT</t>
        </is>
      </c>
      <c r="D267">
        <f>IF(AND(W38!H9&lt;&gt;"",W38!H9&lt;&gt;"✗"),1,0)</f>
        <v/>
      </c>
      <c r="E267">
        <f>IF(AND(W38!H10&lt;&gt;"",W38!H10&lt;&gt;"✗"),1,0)</f>
        <v/>
      </c>
      <c r="F267">
        <f>IF(AND(W38!H11&lt;&gt;"",W38!H11&lt;&gt;"✗"),1,0)</f>
        <v/>
      </c>
      <c r="G267">
        <f>IF(AND(W38!H12&lt;&gt;"",W38!H12&lt;&gt;"✗"),1,0)</f>
        <v/>
      </c>
      <c r="H267">
        <f>IF(AND(W38!H13&lt;&gt;"",W38!H13&lt;&gt;"✗"),1,0)</f>
        <v/>
      </c>
      <c r="I267">
        <f>IF(AND(W38!H14&lt;&gt;"",W38!H14&lt;&gt;"✗"),1,0)</f>
        <v/>
      </c>
      <c r="J267">
        <f>IF(AND(W38!H15&lt;&gt;"",W38!H15&lt;&gt;"✗"),1,0)</f>
        <v/>
      </c>
      <c r="K267">
        <f>IF(AND(W38!H16&lt;&gt;"",W38!H16&lt;&gt;"✗"),1,0)</f>
        <v/>
      </c>
      <c r="L267">
        <f>IF(AND(W38!H17&lt;&gt;"",W38!H17&lt;&gt;"✗"),1,0)</f>
        <v/>
      </c>
      <c r="M267">
        <f>IF(AND(W38!H18&lt;&gt;"",W38!H18&lt;&gt;"✗"),1,0)</f>
        <v/>
      </c>
      <c r="O267">
        <f>IF(D267=1,O266+1,0)</f>
        <v/>
      </c>
      <c r="P267">
        <f>IF(E267=1,P266+1,0)</f>
        <v/>
      </c>
      <c r="Q267">
        <f>IF(F267=1,Q266+1,0)</f>
        <v/>
      </c>
      <c r="R267">
        <f>IF(G267=1,R266+1,0)</f>
        <v/>
      </c>
      <c r="S267">
        <f>IF(H267=1,S266+1,0)</f>
        <v/>
      </c>
      <c r="T267">
        <f>IF(I267=1,T266+1,0)</f>
        <v/>
      </c>
      <c r="U267">
        <f>IF(J267=1,U266+1,0)</f>
        <v/>
      </c>
      <c r="V267">
        <f>IF(K267=1,V266+1,0)</f>
        <v/>
      </c>
      <c r="W267">
        <f>IF(L267=1,W266+1,0)</f>
        <v/>
      </c>
      <c r="X267">
        <f>IF(M267=1,X266+1,0)</f>
        <v/>
      </c>
    </row>
    <row r="268">
      <c r="A268" s="58">
        <f>'Start Here'!$E$6+265</f>
        <v/>
      </c>
      <c r="B268" t="n">
        <v>38</v>
      </c>
      <c r="C268" t="inlineStr">
        <is>
          <t>SUN</t>
        </is>
      </c>
      <c r="D268">
        <f>IF(AND(W38!I9&lt;&gt;"",W38!I9&lt;&gt;"✗"),1,0)</f>
        <v/>
      </c>
      <c r="E268">
        <f>IF(AND(W38!I10&lt;&gt;"",W38!I10&lt;&gt;"✗"),1,0)</f>
        <v/>
      </c>
      <c r="F268">
        <f>IF(AND(W38!I11&lt;&gt;"",W38!I11&lt;&gt;"✗"),1,0)</f>
        <v/>
      </c>
      <c r="G268">
        <f>IF(AND(W38!I12&lt;&gt;"",W38!I12&lt;&gt;"✗"),1,0)</f>
        <v/>
      </c>
      <c r="H268">
        <f>IF(AND(W38!I13&lt;&gt;"",W38!I13&lt;&gt;"✗"),1,0)</f>
        <v/>
      </c>
      <c r="I268">
        <f>IF(AND(W38!I14&lt;&gt;"",W38!I14&lt;&gt;"✗"),1,0)</f>
        <v/>
      </c>
      <c r="J268">
        <f>IF(AND(W38!I15&lt;&gt;"",W38!I15&lt;&gt;"✗"),1,0)</f>
        <v/>
      </c>
      <c r="K268">
        <f>IF(AND(W38!I16&lt;&gt;"",W38!I16&lt;&gt;"✗"),1,0)</f>
        <v/>
      </c>
      <c r="L268">
        <f>IF(AND(W38!I17&lt;&gt;"",W38!I17&lt;&gt;"✗"),1,0)</f>
        <v/>
      </c>
      <c r="M268">
        <f>IF(AND(W38!I18&lt;&gt;"",W38!I18&lt;&gt;"✗"),1,0)</f>
        <v/>
      </c>
      <c r="O268">
        <f>IF(D268=1,O267+1,0)</f>
        <v/>
      </c>
      <c r="P268">
        <f>IF(E268=1,P267+1,0)</f>
        <v/>
      </c>
      <c r="Q268">
        <f>IF(F268=1,Q267+1,0)</f>
        <v/>
      </c>
      <c r="R268">
        <f>IF(G268=1,R267+1,0)</f>
        <v/>
      </c>
      <c r="S268">
        <f>IF(H268=1,S267+1,0)</f>
        <v/>
      </c>
      <c r="T268">
        <f>IF(I268=1,T267+1,0)</f>
        <v/>
      </c>
      <c r="U268">
        <f>IF(J268=1,U267+1,0)</f>
        <v/>
      </c>
      <c r="V268">
        <f>IF(K268=1,V267+1,0)</f>
        <v/>
      </c>
      <c r="W268">
        <f>IF(L268=1,W267+1,0)</f>
        <v/>
      </c>
      <c r="X268">
        <f>IF(M268=1,X267+1,0)</f>
        <v/>
      </c>
    </row>
    <row r="269">
      <c r="A269" s="58">
        <f>'Start Here'!$E$6+266</f>
        <v/>
      </c>
      <c r="B269" t="n">
        <v>39</v>
      </c>
      <c r="C269" t="inlineStr">
        <is>
          <t>MON</t>
        </is>
      </c>
      <c r="D269">
        <f>IF(AND(W39!C9&lt;&gt;"",W39!C9&lt;&gt;"✗"),1,0)</f>
        <v/>
      </c>
      <c r="E269">
        <f>IF(AND(W39!C10&lt;&gt;"",W39!C10&lt;&gt;"✗"),1,0)</f>
        <v/>
      </c>
      <c r="F269">
        <f>IF(AND(W39!C11&lt;&gt;"",W39!C11&lt;&gt;"✗"),1,0)</f>
        <v/>
      </c>
      <c r="G269">
        <f>IF(AND(W39!C12&lt;&gt;"",W39!C12&lt;&gt;"✗"),1,0)</f>
        <v/>
      </c>
      <c r="H269">
        <f>IF(AND(W39!C13&lt;&gt;"",W39!C13&lt;&gt;"✗"),1,0)</f>
        <v/>
      </c>
      <c r="I269">
        <f>IF(AND(W39!C14&lt;&gt;"",W39!C14&lt;&gt;"✗"),1,0)</f>
        <v/>
      </c>
      <c r="J269">
        <f>IF(AND(W39!C15&lt;&gt;"",W39!C15&lt;&gt;"✗"),1,0)</f>
        <v/>
      </c>
      <c r="K269">
        <f>IF(AND(W39!C16&lt;&gt;"",W39!C16&lt;&gt;"✗"),1,0)</f>
        <v/>
      </c>
      <c r="L269">
        <f>IF(AND(W39!C17&lt;&gt;"",W39!C17&lt;&gt;"✗"),1,0)</f>
        <v/>
      </c>
      <c r="M269">
        <f>IF(AND(W39!C18&lt;&gt;"",W39!C18&lt;&gt;"✗"),1,0)</f>
        <v/>
      </c>
      <c r="O269">
        <f>IF(D269=1,O268+1,0)</f>
        <v/>
      </c>
      <c r="P269">
        <f>IF(E269=1,P268+1,0)</f>
        <v/>
      </c>
      <c r="Q269">
        <f>IF(F269=1,Q268+1,0)</f>
        <v/>
      </c>
      <c r="R269">
        <f>IF(G269=1,R268+1,0)</f>
        <v/>
      </c>
      <c r="S269">
        <f>IF(H269=1,S268+1,0)</f>
        <v/>
      </c>
      <c r="T269">
        <f>IF(I269=1,T268+1,0)</f>
        <v/>
      </c>
      <c r="U269">
        <f>IF(J269=1,U268+1,0)</f>
        <v/>
      </c>
      <c r="V269">
        <f>IF(K269=1,V268+1,0)</f>
        <v/>
      </c>
      <c r="W269">
        <f>IF(L269=1,W268+1,0)</f>
        <v/>
      </c>
      <c r="X269">
        <f>IF(M269=1,X268+1,0)</f>
        <v/>
      </c>
    </row>
    <row r="270">
      <c r="A270" s="58">
        <f>'Start Here'!$E$6+267</f>
        <v/>
      </c>
      <c r="B270" t="n">
        <v>39</v>
      </c>
      <c r="C270" t="inlineStr">
        <is>
          <t>TUE</t>
        </is>
      </c>
      <c r="D270">
        <f>IF(AND(W39!D9&lt;&gt;"",W39!D9&lt;&gt;"✗"),1,0)</f>
        <v/>
      </c>
      <c r="E270">
        <f>IF(AND(W39!D10&lt;&gt;"",W39!D10&lt;&gt;"✗"),1,0)</f>
        <v/>
      </c>
      <c r="F270">
        <f>IF(AND(W39!D11&lt;&gt;"",W39!D11&lt;&gt;"✗"),1,0)</f>
        <v/>
      </c>
      <c r="G270">
        <f>IF(AND(W39!D12&lt;&gt;"",W39!D12&lt;&gt;"✗"),1,0)</f>
        <v/>
      </c>
      <c r="H270">
        <f>IF(AND(W39!D13&lt;&gt;"",W39!D13&lt;&gt;"✗"),1,0)</f>
        <v/>
      </c>
      <c r="I270">
        <f>IF(AND(W39!D14&lt;&gt;"",W39!D14&lt;&gt;"✗"),1,0)</f>
        <v/>
      </c>
      <c r="J270">
        <f>IF(AND(W39!D15&lt;&gt;"",W39!D15&lt;&gt;"✗"),1,0)</f>
        <v/>
      </c>
      <c r="K270">
        <f>IF(AND(W39!D16&lt;&gt;"",W39!D16&lt;&gt;"✗"),1,0)</f>
        <v/>
      </c>
      <c r="L270">
        <f>IF(AND(W39!D17&lt;&gt;"",W39!D17&lt;&gt;"✗"),1,0)</f>
        <v/>
      </c>
      <c r="M270">
        <f>IF(AND(W39!D18&lt;&gt;"",W39!D18&lt;&gt;"✗"),1,0)</f>
        <v/>
      </c>
      <c r="O270">
        <f>IF(D270=1,O269+1,0)</f>
        <v/>
      </c>
      <c r="P270">
        <f>IF(E270=1,P269+1,0)</f>
        <v/>
      </c>
      <c r="Q270">
        <f>IF(F270=1,Q269+1,0)</f>
        <v/>
      </c>
      <c r="R270">
        <f>IF(G270=1,R269+1,0)</f>
        <v/>
      </c>
      <c r="S270">
        <f>IF(H270=1,S269+1,0)</f>
        <v/>
      </c>
      <c r="T270">
        <f>IF(I270=1,T269+1,0)</f>
        <v/>
      </c>
      <c r="U270">
        <f>IF(J270=1,U269+1,0)</f>
        <v/>
      </c>
      <c r="V270">
        <f>IF(K270=1,V269+1,0)</f>
        <v/>
      </c>
      <c r="W270">
        <f>IF(L270=1,W269+1,0)</f>
        <v/>
      </c>
      <c r="X270">
        <f>IF(M270=1,X269+1,0)</f>
        <v/>
      </c>
    </row>
    <row r="271">
      <c r="A271" s="58">
        <f>'Start Here'!$E$6+268</f>
        <v/>
      </c>
      <c r="B271" t="n">
        <v>39</v>
      </c>
      <c r="C271" t="inlineStr">
        <is>
          <t>WED</t>
        </is>
      </c>
      <c r="D271">
        <f>IF(AND(W39!E9&lt;&gt;"",W39!E9&lt;&gt;"✗"),1,0)</f>
        <v/>
      </c>
      <c r="E271">
        <f>IF(AND(W39!E10&lt;&gt;"",W39!E10&lt;&gt;"✗"),1,0)</f>
        <v/>
      </c>
      <c r="F271">
        <f>IF(AND(W39!E11&lt;&gt;"",W39!E11&lt;&gt;"✗"),1,0)</f>
        <v/>
      </c>
      <c r="G271">
        <f>IF(AND(W39!E12&lt;&gt;"",W39!E12&lt;&gt;"✗"),1,0)</f>
        <v/>
      </c>
      <c r="H271">
        <f>IF(AND(W39!E13&lt;&gt;"",W39!E13&lt;&gt;"✗"),1,0)</f>
        <v/>
      </c>
      <c r="I271">
        <f>IF(AND(W39!E14&lt;&gt;"",W39!E14&lt;&gt;"✗"),1,0)</f>
        <v/>
      </c>
      <c r="J271">
        <f>IF(AND(W39!E15&lt;&gt;"",W39!E15&lt;&gt;"✗"),1,0)</f>
        <v/>
      </c>
      <c r="K271">
        <f>IF(AND(W39!E16&lt;&gt;"",W39!E16&lt;&gt;"✗"),1,0)</f>
        <v/>
      </c>
      <c r="L271">
        <f>IF(AND(W39!E17&lt;&gt;"",W39!E17&lt;&gt;"✗"),1,0)</f>
        <v/>
      </c>
      <c r="M271">
        <f>IF(AND(W39!E18&lt;&gt;"",W39!E18&lt;&gt;"✗"),1,0)</f>
        <v/>
      </c>
      <c r="O271">
        <f>IF(D271=1,O270+1,0)</f>
        <v/>
      </c>
      <c r="P271">
        <f>IF(E271=1,P270+1,0)</f>
        <v/>
      </c>
      <c r="Q271">
        <f>IF(F271=1,Q270+1,0)</f>
        <v/>
      </c>
      <c r="R271">
        <f>IF(G271=1,R270+1,0)</f>
        <v/>
      </c>
      <c r="S271">
        <f>IF(H271=1,S270+1,0)</f>
        <v/>
      </c>
      <c r="T271">
        <f>IF(I271=1,T270+1,0)</f>
        <v/>
      </c>
      <c r="U271">
        <f>IF(J271=1,U270+1,0)</f>
        <v/>
      </c>
      <c r="V271">
        <f>IF(K271=1,V270+1,0)</f>
        <v/>
      </c>
      <c r="W271">
        <f>IF(L271=1,W270+1,0)</f>
        <v/>
      </c>
      <c r="X271">
        <f>IF(M271=1,X270+1,0)</f>
        <v/>
      </c>
    </row>
    <row r="272">
      <c r="A272" s="58">
        <f>'Start Here'!$E$6+269</f>
        <v/>
      </c>
      <c r="B272" t="n">
        <v>39</v>
      </c>
      <c r="C272" t="inlineStr">
        <is>
          <t>THU</t>
        </is>
      </c>
      <c r="D272">
        <f>IF(AND(W39!F9&lt;&gt;"",W39!F9&lt;&gt;"✗"),1,0)</f>
        <v/>
      </c>
      <c r="E272">
        <f>IF(AND(W39!F10&lt;&gt;"",W39!F10&lt;&gt;"✗"),1,0)</f>
        <v/>
      </c>
      <c r="F272">
        <f>IF(AND(W39!F11&lt;&gt;"",W39!F11&lt;&gt;"✗"),1,0)</f>
        <v/>
      </c>
      <c r="G272">
        <f>IF(AND(W39!F12&lt;&gt;"",W39!F12&lt;&gt;"✗"),1,0)</f>
        <v/>
      </c>
      <c r="H272">
        <f>IF(AND(W39!F13&lt;&gt;"",W39!F13&lt;&gt;"✗"),1,0)</f>
        <v/>
      </c>
      <c r="I272">
        <f>IF(AND(W39!F14&lt;&gt;"",W39!F14&lt;&gt;"✗"),1,0)</f>
        <v/>
      </c>
      <c r="J272">
        <f>IF(AND(W39!F15&lt;&gt;"",W39!F15&lt;&gt;"✗"),1,0)</f>
        <v/>
      </c>
      <c r="K272">
        <f>IF(AND(W39!F16&lt;&gt;"",W39!F16&lt;&gt;"✗"),1,0)</f>
        <v/>
      </c>
      <c r="L272">
        <f>IF(AND(W39!F17&lt;&gt;"",W39!F17&lt;&gt;"✗"),1,0)</f>
        <v/>
      </c>
      <c r="M272">
        <f>IF(AND(W39!F18&lt;&gt;"",W39!F18&lt;&gt;"✗"),1,0)</f>
        <v/>
      </c>
      <c r="O272">
        <f>IF(D272=1,O271+1,0)</f>
        <v/>
      </c>
      <c r="P272">
        <f>IF(E272=1,P271+1,0)</f>
        <v/>
      </c>
      <c r="Q272">
        <f>IF(F272=1,Q271+1,0)</f>
        <v/>
      </c>
      <c r="R272">
        <f>IF(G272=1,R271+1,0)</f>
        <v/>
      </c>
      <c r="S272">
        <f>IF(H272=1,S271+1,0)</f>
        <v/>
      </c>
      <c r="T272">
        <f>IF(I272=1,T271+1,0)</f>
        <v/>
      </c>
      <c r="U272">
        <f>IF(J272=1,U271+1,0)</f>
        <v/>
      </c>
      <c r="V272">
        <f>IF(K272=1,V271+1,0)</f>
        <v/>
      </c>
      <c r="W272">
        <f>IF(L272=1,W271+1,0)</f>
        <v/>
      </c>
      <c r="X272">
        <f>IF(M272=1,X271+1,0)</f>
        <v/>
      </c>
    </row>
    <row r="273">
      <c r="A273" s="58">
        <f>'Start Here'!$E$6+270</f>
        <v/>
      </c>
      <c r="B273" t="n">
        <v>39</v>
      </c>
      <c r="C273" t="inlineStr">
        <is>
          <t>FRI</t>
        </is>
      </c>
      <c r="D273">
        <f>IF(AND(W39!G9&lt;&gt;"",W39!G9&lt;&gt;"✗"),1,0)</f>
        <v/>
      </c>
      <c r="E273">
        <f>IF(AND(W39!G10&lt;&gt;"",W39!G10&lt;&gt;"✗"),1,0)</f>
        <v/>
      </c>
      <c r="F273">
        <f>IF(AND(W39!G11&lt;&gt;"",W39!G11&lt;&gt;"✗"),1,0)</f>
        <v/>
      </c>
      <c r="G273">
        <f>IF(AND(W39!G12&lt;&gt;"",W39!G12&lt;&gt;"✗"),1,0)</f>
        <v/>
      </c>
      <c r="H273">
        <f>IF(AND(W39!G13&lt;&gt;"",W39!G13&lt;&gt;"✗"),1,0)</f>
        <v/>
      </c>
      <c r="I273">
        <f>IF(AND(W39!G14&lt;&gt;"",W39!G14&lt;&gt;"✗"),1,0)</f>
        <v/>
      </c>
      <c r="J273">
        <f>IF(AND(W39!G15&lt;&gt;"",W39!G15&lt;&gt;"✗"),1,0)</f>
        <v/>
      </c>
      <c r="K273">
        <f>IF(AND(W39!G16&lt;&gt;"",W39!G16&lt;&gt;"✗"),1,0)</f>
        <v/>
      </c>
      <c r="L273">
        <f>IF(AND(W39!G17&lt;&gt;"",W39!G17&lt;&gt;"✗"),1,0)</f>
        <v/>
      </c>
      <c r="M273">
        <f>IF(AND(W39!G18&lt;&gt;"",W39!G18&lt;&gt;"✗"),1,0)</f>
        <v/>
      </c>
      <c r="O273">
        <f>IF(D273=1,O272+1,0)</f>
        <v/>
      </c>
      <c r="P273">
        <f>IF(E273=1,P272+1,0)</f>
        <v/>
      </c>
      <c r="Q273">
        <f>IF(F273=1,Q272+1,0)</f>
        <v/>
      </c>
      <c r="R273">
        <f>IF(G273=1,R272+1,0)</f>
        <v/>
      </c>
      <c r="S273">
        <f>IF(H273=1,S272+1,0)</f>
        <v/>
      </c>
      <c r="T273">
        <f>IF(I273=1,T272+1,0)</f>
        <v/>
      </c>
      <c r="U273">
        <f>IF(J273=1,U272+1,0)</f>
        <v/>
      </c>
      <c r="V273">
        <f>IF(K273=1,V272+1,0)</f>
        <v/>
      </c>
      <c r="W273">
        <f>IF(L273=1,W272+1,0)</f>
        <v/>
      </c>
      <c r="X273">
        <f>IF(M273=1,X272+1,0)</f>
        <v/>
      </c>
    </row>
    <row r="274">
      <c r="A274" s="58">
        <f>'Start Here'!$E$6+271</f>
        <v/>
      </c>
      <c r="B274" t="n">
        <v>39</v>
      </c>
      <c r="C274" t="inlineStr">
        <is>
          <t>SAT</t>
        </is>
      </c>
      <c r="D274">
        <f>IF(AND(W39!H9&lt;&gt;"",W39!H9&lt;&gt;"✗"),1,0)</f>
        <v/>
      </c>
      <c r="E274">
        <f>IF(AND(W39!H10&lt;&gt;"",W39!H10&lt;&gt;"✗"),1,0)</f>
        <v/>
      </c>
      <c r="F274">
        <f>IF(AND(W39!H11&lt;&gt;"",W39!H11&lt;&gt;"✗"),1,0)</f>
        <v/>
      </c>
      <c r="G274">
        <f>IF(AND(W39!H12&lt;&gt;"",W39!H12&lt;&gt;"✗"),1,0)</f>
        <v/>
      </c>
      <c r="H274">
        <f>IF(AND(W39!H13&lt;&gt;"",W39!H13&lt;&gt;"✗"),1,0)</f>
        <v/>
      </c>
      <c r="I274">
        <f>IF(AND(W39!H14&lt;&gt;"",W39!H14&lt;&gt;"✗"),1,0)</f>
        <v/>
      </c>
      <c r="J274">
        <f>IF(AND(W39!H15&lt;&gt;"",W39!H15&lt;&gt;"✗"),1,0)</f>
        <v/>
      </c>
      <c r="K274">
        <f>IF(AND(W39!H16&lt;&gt;"",W39!H16&lt;&gt;"✗"),1,0)</f>
        <v/>
      </c>
      <c r="L274">
        <f>IF(AND(W39!H17&lt;&gt;"",W39!H17&lt;&gt;"✗"),1,0)</f>
        <v/>
      </c>
      <c r="M274">
        <f>IF(AND(W39!H18&lt;&gt;"",W39!H18&lt;&gt;"✗"),1,0)</f>
        <v/>
      </c>
      <c r="O274">
        <f>IF(D274=1,O273+1,0)</f>
        <v/>
      </c>
      <c r="P274">
        <f>IF(E274=1,P273+1,0)</f>
        <v/>
      </c>
      <c r="Q274">
        <f>IF(F274=1,Q273+1,0)</f>
        <v/>
      </c>
      <c r="R274">
        <f>IF(G274=1,R273+1,0)</f>
        <v/>
      </c>
      <c r="S274">
        <f>IF(H274=1,S273+1,0)</f>
        <v/>
      </c>
      <c r="T274">
        <f>IF(I274=1,T273+1,0)</f>
        <v/>
      </c>
      <c r="U274">
        <f>IF(J274=1,U273+1,0)</f>
        <v/>
      </c>
      <c r="V274">
        <f>IF(K274=1,V273+1,0)</f>
        <v/>
      </c>
      <c r="W274">
        <f>IF(L274=1,W273+1,0)</f>
        <v/>
      </c>
      <c r="X274">
        <f>IF(M274=1,X273+1,0)</f>
        <v/>
      </c>
    </row>
    <row r="275">
      <c r="A275" s="58">
        <f>'Start Here'!$E$6+272</f>
        <v/>
      </c>
      <c r="B275" t="n">
        <v>39</v>
      </c>
      <c r="C275" t="inlineStr">
        <is>
          <t>SUN</t>
        </is>
      </c>
      <c r="D275">
        <f>IF(AND(W39!I9&lt;&gt;"",W39!I9&lt;&gt;"✗"),1,0)</f>
        <v/>
      </c>
      <c r="E275">
        <f>IF(AND(W39!I10&lt;&gt;"",W39!I10&lt;&gt;"✗"),1,0)</f>
        <v/>
      </c>
      <c r="F275">
        <f>IF(AND(W39!I11&lt;&gt;"",W39!I11&lt;&gt;"✗"),1,0)</f>
        <v/>
      </c>
      <c r="G275">
        <f>IF(AND(W39!I12&lt;&gt;"",W39!I12&lt;&gt;"✗"),1,0)</f>
        <v/>
      </c>
      <c r="H275">
        <f>IF(AND(W39!I13&lt;&gt;"",W39!I13&lt;&gt;"✗"),1,0)</f>
        <v/>
      </c>
      <c r="I275">
        <f>IF(AND(W39!I14&lt;&gt;"",W39!I14&lt;&gt;"✗"),1,0)</f>
        <v/>
      </c>
      <c r="J275">
        <f>IF(AND(W39!I15&lt;&gt;"",W39!I15&lt;&gt;"✗"),1,0)</f>
        <v/>
      </c>
      <c r="K275">
        <f>IF(AND(W39!I16&lt;&gt;"",W39!I16&lt;&gt;"✗"),1,0)</f>
        <v/>
      </c>
      <c r="L275">
        <f>IF(AND(W39!I17&lt;&gt;"",W39!I17&lt;&gt;"✗"),1,0)</f>
        <v/>
      </c>
      <c r="M275">
        <f>IF(AND(W39!I18&lt;&gt;"",W39!I18&lt;&gt;"✗"),1,0)</f>
        <v/>
      </c>
      <c r="O275">
        <f>IF(D275=1,O274+1,0)</f>
        <v/>
      </c>
      <c r="P275">
        <f>IF(E275=1,P274+1,0)</f>
        <v/>
      </c>
      <c r="Q275">
        <f>IF(F275=1,Q274+1,0)</f>
        <v/>
      </c>
      <c r="R275">
        <f>IF(G275=1,R274+1,0)</f>
        <v/>
      </c>
      <c r="S275">
        <f>IF(H275=1,S274+1,0)</f>
        <v/>
      </c>
      <c r="T275">
        <f>IF(I275=1,T274+1,0)</f>
        <v/>
      </c>
      <c r="U275">
        <f>IF(J275=1,U274+1,0)</f>
        <v/>
      </c>
      <c r="V275">
        <f>IF(K275=1,V274+1,0)</f>
        <v/>
      </c>
      <c r="W275">
        <f>IF(L275=1,W274+1,0)</f>
        <v/>
      </c>
      <c r="X275">
        <f>IF(M275=1,X274+1,0)</f>
        <v/>
      </c>
    </row>
    <row r="276">
      <c r="A276" s="58">
        <f>'Start Here'!$E$6+273</f>
        <v/>
      </c>
      <c r="B276" t="n">
        <v>40</v>
      </c>
      <c r="C276" t="inlineStr">
        <is>
          <t>MON</t>
        </is>
      </c>
      <c r="D276">
        <f>IF(AND(W40!C9&lt;&gt;"",W40!C9&lt;&gt;"✗"),1,0)</f>
        <v/>
      </c>
      <c r="E276">
        <f>IF(AND(W40!C10&lt;&gt;"",W40!C10&lt;&gt;"✗"),1,0)</f>
        <v/>
      </c>
      <c r="F276">
        <f>IF(AND(W40!C11&lt;&gt;"",W40!C11&lt;&gt;"✗"),1,0)</f>
        <v/>
      </c>
      <c r="G276">
        <f>IF(AND(W40!C12&lt;&gt;"",W40!C12&lt;&gt;"✗"),1,0)</f>
        <v/>
      </c>
      <c r="H276">
        <f>IF(AND(W40!C13&lt;&gt;"",W40!C13&lt;&gt;"✗"),1,0)</f>
        <v/>
      </c>
      <c r="I276">
        <f>IF(AND(W40!C14&lt;&gt;"",W40!C14&lt;&gt;"✗"),1,0)</f>
        <v/>
      </c>
      <c r="J276">
        <f>IF(AND(W40!C15&lt;&gt;"",W40!C15&lt;&gt;"✗"),1,0)</f>
        <v/>
      </c>
      <c r="K276">
        <f>IF(AND(W40!C16&lt;&gt;"",W40!C16&lt;&gt;"✗"),1,0)</f>
        <v/>
      </c>
      <c r="L276">
        <f>IF(AND(W40!C17&lt;&gt;"",W40!C17&lt;&gt;"✗"),1,0)</f>
        <v/>
      </c>
      <c r="M276">
        <f>IF(AND(W40!C18&lt;&gt;"",W40!C18&lt;&gt;"✗"),1,0)</f>
        <v/>
      </c>
      <c r="O276">
        <f>IF(D276=1,O275+1,0)</f>
        <v/>
      </c>
      <c r="P276">
        <f>IF(E276=1,P275+1,0)</f>
        <v/>
      </c>
      <c r="Q276">
        <f>IF(F276=1,Q275+1,0)</f>
        <v/>
      </c>
      <c r="R276">
        <f>IF(G276=1,R275+1,0)</f>
        <v/>
      </c>
      <c r="S276">
        <f>IF(H276=1,S275+1,0)</f>
        <v/>
      </c>
      <c r="T276">
        <f>IF(I276=1,T275+1,0)</f>
        <v/>
      </c>
      <c r="U276">
        <f>IF(J276=1,U275+1,0)</f>
        <v/>
      </c>
      <c r="V276">
        <f>IF(K276=1,V275+1,0)</f>
        <v/>
      </c>
      <c r="W276">
        <f>IF(L276=1,W275+1,0)</f>
        <v/>
      </c>
      <c r="X276">
        <f>IF(M276=1,X275+1,0)</f>
        <v/>
      </c>
    </row>
    <row r="277">
      <c r="A277" s="58">
        <f>'Start Here'!$E$6+274</f>
        <v/>
      </c>
      <c r="B277" t="n">
        <v>40</v>
      </c>
      <c r="C277" t="inlineStr">
        <is>
          <t>TUE</t>
        </is>
      </c>
      <c r="D277">
        <f>IF(AND(W40!D9&lt;&gt;"",W40!D9&lt;&gt;"✗"),1,0)</f>
        <v/>
      </c>
      <c r="E277">
        <f>IF(AND(W40!D10&lt;&gt;"",W40!D10&lt;&gt;"✗"),1,0)</f>
        <v/>
      </c>
      <c r="F277">
        <f>IF(AND(W40!D11&lt;&gt;"",W40!D11&lt;&gt;"✗"),1,0)</f>
        <v/>
      </c>
      <c r="G277">
        <f>IF(AND(W40!D12&lt;&gt;"",W40!D12&lt;&gt;"✗"),1,0)</f>
        <v/>
      </c>
      <c r="H277">
        <f>IF(AND(W40!D13&lt;&gt;"",W40!D13&lt;&gt;"✗"),1,0)</f>
        <v/>
      </c>
      <c r="I277">
        <f>IF(AND(W40!D14&lt;&gt;"",W40!D14&lt;&gt;"✗"),1,0)</f>
        <v/>
      </c>
      <c r="J277">
        <f>IF(AND(W40!D15&lt;&gt;"",W40!D15&lt;&gt;"✗"),1,0)</f>
        <v/>
      </c>
      <c r="K277">
        <f>IF(AND(W40!D16&lt;&gt;"",W40!D16&lt;&gt;"✗"),1,0)</f>
        <v/>
      </c>
      <c r="L277">
        <f>IF(AND(W40!D17&lt;&gt;"",W40!D17&lt;&gt;"✗"),1,0)</f>
        <v/>
      </c>
      <c r="M277">
        <f>IF(AND(W40!D18&lt;&gt;"",W40!D18&lt;&gt;"✗"),1,0)</f>
        <v/>
      </c>
      <c r="O277">
        <f>IF(D277=1,O276+1,0)</f>
        <v/>
      </c>
      <c r="P277">
        <f>IF(E277=1,P276+1,0)</f>
        <v/>
      </c>
      <c r="Q277">
        <f>IF(F277=1,Q276+1,0)</f>
        <v/>
      </c>
      <c r="R277">
        <f>IF(G277=1,R276+1,0)</f>
        <v/>
      </c>
      <c r="S277">
        <f>IF(H277=1,S276+1,0)</f>
        <v/>
      </c>
      <c r="T277">
        <f>IF(I277=1,T276+1,0)</f>
        <v/>
      </c>
      <c r="U277">
        <f>IF(J277=1,U276+1,0)</f>
        <v/>
      </c>
      <c r="V277">
        <f>IF(K277=1,V276+1,0)</f>
        <v/>
      </c>
      <c r="W277">
        <f>IF(L277=1,W276+1,0)</f>
        <v/>
      </c>
      <c r="X277">
        <f>IF(M277=1,X276+1,0)</f>
        <v/>
      </c>
    </row>
    <row r="278">
      <c r="A278" s="58">
        <f>'Start Here'!$E$6+275</f>
        <v/>
      </c>
      <c r="B278" t="n">
        <v>40</v>
      </c>
      <c r="C278" t="inlineStr">
        <is>
          <t>WED</t>
        </is>
      </c>
      <c r="D278">
        <f>IF(AND(W40!E9&lt;&gt;"",W40!E9&lt;&gt;"✗"),1,0)</f>
        <v/>
      </c>
      <c r="E278">
        <f>IF(AND(W40!E10&lt;&gt;"",W40!E10&lt;&gt;"✗"),1,0)</f>
        <v/>
      </c>
      <c r="F278">
        <f>IF(AND(W40!E11&lt;&gt;"",W40!E11&lt;&gt;"✗"),1,0)</f>
        <v/>
      </c>
      <c r="G278">
        <f>IF(AND(W40!E12&lt;&gt;"",W40!E12&lt;&gt;"✗"),1,0)</f>
        <v/>
      </c>
      <c r="H278">
        <f>IF(AND(W40!E13&lt;&gt;"",W40!E13&lt;&gt;"✗"),1,0)</f>
        <v/>
      </c>
      <c r="I278">
        <f>IF(AND(W40!E14&lt;&gt;"",W40!E14&lt;&gt;"✗"),1,0)</f>
        <v/>
      </c>
      <c r="J278">
        <f>IF(AND(W40!E15&lt;&gt;"",W40!E15&lt;&gt;"✗"),1,0)</f>
        <v/>
      </c>
      <c r="K278">
        <f>IF(AND(W40!E16&lt;&gt;"",W40!E16&lt;&gt;"✗"),1,0)</f>
        <v/>
      </c>
      <c r="L278">
        <f>IF(AND(W40!E17&lt;&gt;"",W40!E17&lt;&gt;"✗"),1,0)</f>
        <v/>
      </c>
      <c r="M278">
        <f>IF(AND(W40!E18&lt;&gt;"",W40!E18&lt;&gt;"✗"),1,0)</f>
        <v/>
      </c>
      <c r="O278">
        <f>IF(D278=1,O277+1,0)</f>
        <v/>
      </c>
      <c r="P278">
        <f>IF(E278=1,P277+1,0)</f>
        <v/>
      </c>
      <c r="Q278">
        <f>IF(F278=1,Q277+1,0)</f>
        <v/>
      </c>
      <c r="R278">
        <f>IF(G278=1,R277+1,0)</f>
        <v/>
      </c>
      <c r="S278">
        <f>IF(H278=1,S277+1,0)</f>
        <v/>
      </c>
      <c r="T278">
        <f>IF(I278=1,T277+1,0)</f>
        <v/>
      </c>
      <c r="U278">
        <f>IF(J278=1,U277+1,0)</f>
        <v/>
      </c>
      <c r="V278">
        <f>IF(K278=1,V277+1,0)</f>
        <v/>
      </c>
      <c r="W278">
        <f>IF(L278=1,W277+1,0)</f>
        <v/>
      </c>
      <c r="X278">
        <f>IF(M278=1,X277+1,0)</f>
        <v/>
      </c>
    </row>
    <row r="279">
      <c r="A279" s="58">
        <f>'Start Here'!$E$6+276</f>
        <v/>
      </c>
      <c r="B279" t="n">
        <v>40</v>
      </c>
      <c r="C279" t="inlineStr">
        <is>
          <t>THU</t>
        </is>
      </c>
      <c r="D279">
        <f>IF(AND(W40!F9&lt;&gt;"",W40!F9&lt;&gt;"✗"),1,0)</f>
        <v/>
      </c>
      <c r="E279">
        <f>IF(AND(W40!F10&lt;&gt;"",W40!F10&lt;&gt;"✗"),1,0)</f>
        <v/>
      </c>
      <c r="F279">
        <f>IF(AND(W40!F11&lt;&gt;"",W40!F11&lt;&gt;"✗"),1,0)</f>
        <v/>
      </c>
      <c r="G279">
        <f>IF(AND(W40!F12&lt;&gt;"",W40!F12&lt;&gt;"✗"),1,0)</f>
        <v/>
      </c>
      <c r="H279">
        <f>IF(AND(W40!F13&lt;&gt;"",W40!F13&lt;&gt;"✗"),1,0)</f>
        <v/>
      </c>
      <c r="I279">
        <f>IF(AND(W40!F14&lt;&gt;"",W40!F14&lt;&gt;"✗"),1,0)</f>
        <v/>
      </c>
      <c r="J279">
        <f>IF(AND(W40!F15&lt;&gt;"",W40!F15&lt;&gt;"✗"),1,0)</f>
        <v/>
      </c>
      <c r="K279">
        <f>IF(AND(W40!F16&lt;&gt;"",W40!F16&lt;&gt;"✗"),1,0)</f>
        <v/>
      </c>
      <c r="L279">
        <f>IF(AND(W40!F17&lt;&gt;"",W40!F17&lt;&gt;"✗"),1,0)</f>
        <v/>
      </c>
      <c r="M279">
        <f>IF(AND(W40!F18&lt;&gt;"",W40!F18&lt;&gt;"✗"),1,0)</f>
        <v/>
      </c>
      <c r="O279">
        <f>IF(D279=1,O278+1,0)</f>
        <v/>
      </c>
      <c r="P279">
        <f>IF(E279=1,P278+1,0)</f>
        <v/>
      </c>
      <c r="Q279">
        <f>IF(F279=1,Q278+1,0)</f>
        <v/>
      </c>
      <c r="R279">
        <f>IF(G279=1,R278+1,0)</f>
        <v/>
      </c>
      <c r="S279">
        <f>IF(H279=1,S278+1,0)</f>
        <v/>
      </c>
      <c r="T279">
        <f>IF(I279=1,T278+1,0)</f>
        <v/>
      </c>
      <c r="U279">
        <f>IF(J279=1,U278+1,0)</f>
        <v/>
      </c>
      <c r="V279">
        <f>IF(K279=1,V278+1,0)</f>
        <v/>
      </c>
      <c r="W279">
        <f>IF(L279=1,W278+1,0)</f>
        <v/>
      </c>
      <c r="X279">
        <f>IF(M279=1,X278+1,0)</f>
        <v/>
      </c>
    </row>
    <row r="280">
      <c r="A280" s="58">
        <f>'Start Here'!$E$6+277</f>
        <v/>
      </c>
      <c r="B280" t="n">
        <v>40</v>
      </c>
      <c r="C280" t="inlineStr">
        <is>
          <t>FRI</t>
        </is>
      </c>
      <c r="D280">
        <f>IF(AND(W40!G9&lt;&gt;"",W40!G9&lt;&gt;"✗"),1,0)</f>
        <v/>
      </c>
      <c r="E280">
        <f>IF(AND(W40!G10&lt;&gt;"",W40!G10&lt;&gt;"✗"),1,0)</f>
        <v/>
      </c>
      <c r="F280">
        <f>IF(AND(W40!G11&lt;&gt;"",W40!G11&lt;&gt;"✗"),1,0)</f>
        <v/>
      </c>
      <c r="G280">
        <f>IF(AND(W40!G12&lt;&gt;"",W40!G12&lt;&gt;"✗"),1,0)</f>
        <v/>
      </c>
      <c r="H280">
        <f>IF(AND(W40!G13&lt;&gt;"",W40!G13&lt;&gt;"✗"),1,0)</f>
        <v/>
      </c>
      <c r="I280">
        <f>IF(AND(W40!G14&lt;&gt;"",W40!G14&lt;&gt;"✗"),1,0)</f>
        <v/>
      </c>
      <c r="J280">
        <f>IF(AND(W40!G15&lt;&gt;"",W40!G15&lt;&gt;"✗"),1,0)</f>
        <v/>
      </c>
      <c r="K280">
        <f>IF(AND(W40!G16&lt;&gt;"",W40!G16&lt;&gt;"✗"),1,0)</f>
        <v/>
      </c>
      <c r="L280">
        <f>IF(AND(W40!G17&lt;&gt;"",W40!G17&lt;&gt;"✗"),1,0)</f>
        <v/>
      </c>
      <c r="M280">
        <f>IF(AND(W40!G18&lt;&gt;"",W40!G18&lt;&gt;"✗"),1,0)</f>
        <v/>
      </c>
      <c r="O280">
        <f>IF(D280=1,O279+1,0)</f>
        <v/>
      </c>
      <c r="P280">
        <f>IF(E280=1,P279+1,0)</f>
        <v/>
      </c>
      <c r="Q280">
        <f>IF(F280=1,Q279+1,0)</f>
        <v/>
      </c>
      <c r="R280">
        <f>IF(G280=1,R279+1,0)</f>
        <v/>
      </c>
      <c r="S280">
        <f>IF(H280=1,S279+1,0)</f>
        <v/>
      </c>
      <c r="T280">
        <f>IF(I280=1,T279+1,0)</f>
        <v/>
      </c>
      <c r="U280">
        <f>IF(J280=1,U279+1,0)</f>
        <v/>
      </c>
      <c r="V280">
        <f>IF(K280=1,V279+1,0)</f>
        <v/>
      </c>
      <c r="W280">
        <f>IF(L280=1,W279+1,0)</f>
        <v/>
      </c>
      <c r="X280">
        <f>IF(M280=1,X279+1,0)</f>
        <v/>
      </c>
    </row>
    <row r="281">
      <c r="A281" s="58">
        <f>'Start Here'!$E$6+278</f>
        <v/>
      </c>
      <c r="B281" t="n">
        <v>40</v>
      </c>
      <c r="C281" t="inlineStr">
        <is>
          <t>SAT</t>
        </is>
      </c>
      <c r="D281">
        <f>IF(AND(W40!H9&lt;&gt;"",W40!H9&lt;&gt;"✗"),1,0)</f>
        <v/>
      </c>
      <c r="E281">
        <f>IF(AND(W40!H10&lt;&gt;"",W40!H10&lt;&gt;"✗"),1,0)</f>
        <v/>
      </c>
      <c r="F281">
        <f>IF(AND(W40!H11&lt;&gt;"",W40!H11&lt;&gt;"✗"),1,0)</f>
        <v/>
      </c>
      <c r="G281">
        <f>IF(AND(W40!H12&lt;&gt;"",W40!H12&lt;&gt;"✗"),1,0)</f>
        <v/>
      </c>
      <c r="H281">
        <f>IF(AND(W40!H13&lt;&gt;"",W40!H13&lt;&gt;"✗"),1,0)</f>
        <v/>
      </c>
      <c r="I281">
        <f>IF(AND(W40!H14&lt;&gt;"",W40!H14&lt;&gt;"✗"),1,0)</f>
        <v/>
      </c>
      <c r="J281">
        <f>IF(AND(W40!H15&lt;&gt;"",W40!H15&lt;&gt;"✗"),1,0)</f>
        <v/>
      </c>
      <c r="K281">
        <f>IF(AND(W40!H16&lt;&gt;"",W40!H16&lt;&gt;"✗"),1,0)</f>
        <v/>
      </c>
      <c r="L281">
        <f>IF(AND(W40!H17&lt;&gt;"",W40!H17&lt;&gt;"✗"),1,0)</f>
        <v/>
      </c>
      <c r="M281">
        <f>IF(AND(W40!H18&lt;&gt;"",W40!H18&lt;&gt;"✗"),1,0)</f>
        <v/>
      </c>
      <c r="O281">
        <f>IF(D281=1,O280+1,0)</f>
        <v/>
      </c>
      <c r="P281">
        <f>IF(E281=1,P280+1,0)</f>
        <v/>
      </c>
      <c r="Q281">
        <f>IF(F281=1,Q280+1,0)</f>
        <v/>
      </c>
      <c r="R281">
        <f>IF(G281=1,R280+1,0)</f>
        <v/>
      </c>
      <c r="S281">
        <f>IF(H281=1,S280+1,0)</f>
        <v/>
      </c>
      <c r="T281">
        <f>IF(I281=1,T280+1,0)</f>
        <v/>
      </c>
      <c r="U281">
        <f>IF(J281=1,U280+1,0)</f>
        <v/>
      </c>
      <c r="V281">
        <f>IF(K281=1,V280+1,0)</f>
        <v/>
      </c>
      <c r="W281">
        <f>IF(L281=1,W280+1,0)</f>
        <v/>
      </c>
      <c r="X281">
        <f>IF(M281=1,X280+1,0)</f>
        <v/>
      </c>
    </row>
    <row r="282">
      <c r="A282" s="58">
        <f>'Start Here'!$E$6+279</f>
        <v/>
      </c>
      <c r="B282" t="n">
        <v>40</v>
      </c>
      <c r="C282" t="inlineStr">
        <is>
          <t>SUN</t>
        </is>
      </c>
      <c r="D282">
        <f>IF(AND(W40!I9&lt;&gt;"",W40!I9&lt;&gt;"✗"),1,0)</f>
        <v/>
      </c>
      <c r="E282">
        <f>IF(AND(W40!I10&lt;&gt;"",W40!I10&lt;&gt;"✗"),1,0)</f>
        <v/>
      </c>
      <c r="F282">
        <f>IF(AND(W40!I11&lt;&gt;"",W40!I11&lt;&gt;"✗"),1,0)</f>
        <v/>
      </c>
      <c r="G282">
        <f>IF(AND(W40!I12&lt;&gt;"",W40!I12&lt;&gt;"✗"),1,0)</f>
        <v/>
      </c>
      <c r="H282">
        <f>IF(AND(W40!I13&lt;&gt;"",W40!I13&lt;&gt;"✗"),1,0)</f>
        <v/>
      </c>
      <c r="I282">
        <f>IF(AND(W40!I14&lt;&gt;"",W40!I14&lt;&gt;"✗"),1,0)</f>
        <v/>
      </c>
      <c r="J282">
        <f>IF(AND(W40!I15&lt;&gt;"",W40!I15&lt;&gt;"✗"),1,0)</f>
        <v/>
      </c>
      <c r="K282">
        <f>IF(AND(W40!I16&lt;&gt;"",W40!I16&lt;&gt;"✗"),1,0)</f>
        <v/>
      </c>
      <c r="L282">
        <f>IF(AND(W40!I17&lt;&gt;"",W40!I17&lt;&gt;"✗"),1,0)</f>
        <v/>
      </c>
      <c r="M282">
        <f>IF(AND(W40!I18&lt;&gt;"",W40!I18&lt;&gt;"✗"),1,0)</f>
        <v/>
      </c>
      <c r="O282">
        <f>IF(D282=1,O281+1,0)</f>
        <v/>
      </c>
      <c r="P282">
        <f>IF(E282=1,P281+1,0)</f>
        <v/>
      </c>
      <c r="Q282">
        <f>IF(F282=1,Q281+1,0)</f>
        <v/>
      </c>
      <c r="R282">
        <f>IF(G282=1,R281+1,0)</f>
        <v/>
      </c>
      <c r="S282">
        <f>IF(H282=1,S281+1,0)</f>
        <v/>
      </c>
      <c r="T282">
        <f>IF(I282=1,T281+1,0)</f>
        <v/>
      </c>
      <c r="U282">
        <f>IF(J282=1,U281+1,0)</f>
        <v/>
      </c>
      <c r="V282">
        <f>IF(K282=1,V281+1,0)</f>
        <v/>
      </c>
      <c r="W282">
        <f>IF(L282=1,W281+1,0)</f>
        <v/>
      </c>
      <c r="X282">
        <f>IF(M282=1,X281+1,0)</f>
        <v/>
      </c>
    </row>
    <row r="283">
      <c r="A283" s="58">
        <f>'Start Here'!$E$6+280</f>
        <v/>
      </c>
      <c r="B283" t="n">
        <v>41</v>
      </c>
      <c r="C283" t="inlineStr">
        <is>
          <t>MON</t>
        </is>
      </c>
      <c r="D283">
        <f>IF(AND(W41!C9&lt;&gt;"",W41!C9&lt;&gt;"✗"),1,0)</f>
        <v/>
      </c>
      <c r="E283">
        <f>IF(AND(W41!C10&lt;&gt;"",W41!C10&lt;&gt;"✗"),1,0)</f>
        <v/>
      </c>
      <c r="F283">
        <f>IF(AND(W41!C11&lt;&gt;"",W41!C11&lt;&gt;"✗"),1,0)</f>
        <v/>
      </c>
      <c r="G283">
        <f>IF(AND(W41!C12&lt;&gt;"",W41!C12&lt;&gt;"✗"),1,0)</f>
        <v/>
      </c>
      <c r="H283">
        <f>IF(AND(W41!C13&lt;&gt;"",W41!C13&lt;&gt;"✗"),1,0)</f>
        <v/>
      </c>
      <c r="I283">
        <f>IF(AND(W41!C14&lt;&gt;"",W41!C14&lt;&gt;"✗"),1,0)</f>
        <v/>
      </c>
      <c r="J283">
        <f>IF(AND(W41!C15&lt;&gt;"",W41!C15&lt;&gt;"✗"),1,0)</f>
        <v/>
      </c>
      <c r="K283">
        <f>IF(AND(W41!C16&lt;&gt;"",W41!C16&lt;&gt;"✗"),1,0)</f>
        <v/>
      </c>
      <c r="L283">
        <f>IF(AND(W41!C17&lt;&gt;"",W41!C17&lt;&gt;"✗"),1,0)</f>
        <v/>
      </c>
      <c r="M283">
        <f>IF(AND(W41!C18&lt;&gt;"",W41!C18&lt;&gt;"✗"),1,0)</f>
        <v/>
      </c>
      <c r="O283">
        <f>IF(D283=1,O282+1,0)</f>
        <v/>
      </c>
      <c r="P283">
        <f>IF(E283=1,P282+1,0)</f>
        <v/>
      </c>
      <c r="Q283">
        <f>IF(F283=1,Q282+1,0)</f>
        <v/>
      </c>
      <c r="R283">
        <f>IF(G283=1,R282+1,0)</f>
        <v/>
      </c>
      <c r="S283">
        <f>IF(H283=1,S282+1,0)</f>
        <v/>
      </c>
      <c r="T283">
        <f>IF(I283=1,T282+1,0)</f>
        <v/>
      </c>
      <c r="U283">
        <f>IF(J283=1,U282+1,0)</f>
        <v/>
      </c>
      <c r="V283">
        <f>IF(K283=1,V282+1,0)</f>
        <v/>
      </c>
      <c r="W283">
        <f>IF(L283=1,W282+1,0)</f>
        <v/>
      </c>
      <c r="X283">
        <f>IF(M283=1,X282+1,0)</f>
        <v/>
      </c>
    </row>
    <row r="284">
      <c r="A284" s="58">
        <f>'Start Here'!$E$6+281</f>
        <v/>
      </c>
      <c r="B284" t="n">
        <v>41</v>
      </c>
      <c r="C284" t="inlineStr">
        <is>
          <t>TUE</t>
        </is>
      </c>
      <c r="D284">
        <f>IF(AND(W41!D9&lt;&gt;"",W41!D9&lt;&gt;"✗"),1,0)</f>
        <v/>
      </c>
      <c r="E284">
        <f>IF(AND(W41!D10&lt;&gt;"",W41!D10&lt;&gt;"✗"),1,0)</f>
        <v/>
      </c>
      <c r="F284">
        <f>IF(AND(W41!D11&lt;&gt;"",W41!D11&lt;&gt;"✗"),1,0)</f>
        <v/>
      </c>
      <c r="G284">
        <f>IF(AND(W41!D12&lt;&gt;"",W41!D12&lt;&gt;"✗"),1,0)</f>
        <v/>
      </c>
      <c r="H284">
        <f>IF(AND(W41!D13&lt;&gt;"",W41!D13&lt;&gt;"✗"),1,0)</f>
        <v/>
      </c>
      <c r="I284">
        <f>IF(AND(W41!D14&lt;&gt;"",W41!D14&lt;&gt;"✗"),1,0)</f>
        <v/>
      </c>
      <c r="J284">
        <f>IF(AND(W41!D15&lt;&gt;"",W41!D15&lt;&gt;"✗"),1,0)</f>
        <v/>
      </c>
      <c r="K284">
        <f>IF(AND(W41!D16&lt;&gt;"",W41!D16&lt;&gt;"✗"),1,0)</f>
        <v/>
      </c>
      <c r="L284">
        <f>IF(AND(W41!D17&lt;&gt;"",W41!D17&lt;&gt;"✗"),1,0)</f>
        <v/>
      </c>
      <c r="M284">
        <f>IF(AND(W41!D18&lt;&gt;"",W41!D18&lt;&gt;"✗"),1,0)</f>
        <v/>
      </c>
      <c r="O284">
        <f>IF(D284=1,O283+1,0)</f>
        <v/>
      </c>
      <c r="P284">
        <f>IF(E284=1,P283+1,0)</f>
        <v/>
      </c>
      <c r="Q284">
        <f>IF(F284=1,Q283+1,0)</f>
        <v/>
      </c>
      <c r="R284">
        <f>IF(G284=1,R283+1,0)</f>
        <v/>
      </c>
      <c r="S284">
        <f>IF(H284=1,S283+1,0)</f>
        <v/>
      </c>
      <c r="T284">
        <f>IF(I284=1,T283+1,0)</f>
        <v/>
      </c>
      <c r="U284">
        <f>IF(J284=1,U283+1,0)</f>
        <v/>
      </c>
      <c r="V284">
        <f>IF(K284=1,V283+1,0)</f>
        <v/>
      </c>
      <c r="W284">
        <f>IF(L284=1,W283+1,0)</f>
        <v/>
      </c>
      <c r="X284">
        <f>IF(M284=1,X283+1,0)</f>
        <v/>
      </c>
    </row>
    <row r="285">
      <c r="A285" s="58">
        <f>'Start Here'!$E$6+282</f>
        <v/>
      </c>
      <c r="B285" t="n">
        <v>41</v>
      </c>
      <c r="C285" t="inlineStr">
        <is>
          <t>WED</t>
        </is>
      </c>
      <c r="D285">
        <f>IF(AND(W41!E9&lt;&gt;"",W41!E9&lt;&gt;"✗"),1,0)</f>
        <v/>
      </c>
      <c r="E285">
        <f>IF(AND(W41!E10&lt;&gt;"",W41!E10&lt;&gt;"✗"),1,0)</f>
        <v/>
      </c>
      <c r="F285">
        <f>IF(AND(W41!E11&lt;&gt;"",W41!E11&lt;&gt;"✗"),1,0)</f>
        <v/>
      </c>
      <c r="G285">
        <f>IF(AND(W41!E12&lt;&gt;"",W41!E12&lt;&gt;"✗"),1,0)</f>
        <v/>
      </c>
      <c r="H285">
        <f>IF(AND(W41!E13&lt;&gt;"",W41!E13&lt;&gt;"✗"),1,0)</f>
        <v/>
      </c>
      <c r="I285">
        <f>IF(AND(W41!E14&lt;&gt;"",W41!E14&lt;&gt;"✗"),1,0)</f>
        <v/>
      </c>
      <c r="J285">
        <f>IF(AND(W41!E15&lt;&gt;"",W41!E15&lt;&gt;"✗"),1,0)</f>
        <v/>
      </c>
      <c r="K285">
        <f>IF(AND(W41!E16&lt;&gt;"",W41!E16&lt;&gt;"✗"),1,0)</f>
        <v/>
      </c>
      <c r="L285">
        <f>IF(AND(W41!E17&lt;&gt;"",W41!E17&lt;&gt;"✗"),1,0)</f>
        <v/>
      </c>
      <c r="M285">
        <f>IF(AND(W41!E18&lt;&gt;"",W41!E18&lt;&gt;"✗"),1,0)</f>
        <v/>
      </c>
      <c r="O285">
        <f>IF(D285=1,O284+1,0)</f>
        <v/>
      </c>
      <c r="P285">
        <f>IF(E285=1,P284+1,0)</f>
        <v/>
      </c>
      <c r="Q285">
        <f>IF(F285=1,Q284+1,0)</f>
        <v/>
      </c>
      <c r="R285">
        <f>IF(G285=1,R284+1,0)</f>
        <v/>
      </c>
      <c r="S285">
        <f>IF(H285=1,S284+1,0)</f>
        <v/>
      </c>
      <c r="T285">
        <f>IF(I285=1,T284+1,0)</f>
        <v/>
      </c>
      <c r="U285">
        <f>IF(J285=1,U284+1,0)</f>
        <v/>
      </c>
      <c r="V285">
        <f>IF(K285=1,V284+1,0)</f>
        <v/>
      </c>
      <c r="W285">
        <f>IF(L285=1,W284+1,0)</f>
        <v/>
      </c>
      <c r="X285">
        <f>IF(M285=1,X284+1,0)</f>
        <v/>
      </c>
    </row>
    <row r="286">
      <c r="A286" s="58">
        <f>'Start Here'!$E$6+283</f>
        <v/>
      </c>
      <c r="B286" t="n">
        <v>41</v>
      </c>
      <c r="C286" t="inlineStr">
        <is>
          <t>THU</t>
        </is>
      </c>
      <c r="D286">
        <f>IF(AND(W41!F9&lt;&gt;"",W41!F9&lt;&gt;"✗"),1,0)</f>
        <v/>
      </c>
      <c r="E286">
        <f>IF(AND(W41!F10&lt;&gt;"",W41!F10&lt;&gt;"✗"),1,0)</f>
        <v/>
      </c>
      <c r="F286">
        <f>IF(AND(W41!F11&lt;&gt;"",W41!F11&lt;&gt;"✗"),1,0)</f>
        <v/>
      </c>
      <c r="G286">
        <f>IF(AND(W41!F12&lt;&gt;"",W41!F12&lt;&gt;"✗"),1,0)</f>
        <v/>
      </c>
      <c r="H286">
        <f>IF(AND(W41!F13&lt;&gt;"",W41!F13&lt;&gt;"✗"),1,0)</f>
        <v/>
      </c>
      <c r="I286">
        <f>IF(AND(W41!F14&lt;&gt;"",W41!F14&lt;&gt;"✗"),1,0)</f>
        <v/>
      </c>
      <c r="J286">
        <f>IF(AND(W41!F15&lt;&gt;"",W41!F15&lt;&gt;"✗"),1,0)</f>
        <v/>
      </c>
      <c r="K286">
        <f>IF(AND(W41!F16&lt;&gt;"",W41!F16&lt;&gt;"✗"),1,0)</f>
        <v/>
      </c>
      <c r="L286">
        <f>IF(AND(W41!F17&lt;&gt;"",W41!F17&lt;&gt;"✗"),1,0)</f>
        <v/>
      </c>
      <c r="M286">
        <f>IF(AND(W41!F18&lt;&gt;"",W41!F18&lt;&gt;"✗"),1,0)</f>
        <v/>
      </c>
      <c r="O286">
        <f>IF(D286=1,O285+1,0)</f>
        <v/>
      </c>
      <c r="P286">
        <f>IF(E286=1,P285+1,0)</f>
        <v/>
      </c>
      <c r="Q286">
        <f>IF(F286=1,Q285+1,0)</f>
        <v/>
      </c>
      <c r="R286">
        <f>IF(G286=1,R285+1,0)</f>
        <v/>
      </c>
      <c r="S286">
        <f>IF(H286=1,S285+1,0)</f>
        <v/>
      </c>
      <c r="T286">
        <f>IF(I286=1,T285+1,0)</f>
        <v/>
      </c>
      <c r="U286">
        <f>IF(J286=1,U285+1,0)</f>
        <v/>
      </c>
      <c r="V286">
        <f>IF(K286=1,V285+1,0)</f>
        <v/>
      </c>
      <c r="W286">
        <f>IF(L286=1,W285+1,0)</f>
        <v/>
      </c>
      <c r="X286">
        <f>IF(M286=1,X285+1,0)</f>
        <v/>
      </c>
    </row>
    <row r="287">
      <c r="A287" s="58">
        <f>'Start Here'!$E$6+284</f>
        <v/>
      </c>
      <c r="B287" t="n">
        <v>41</v>
      </c>
      <c r="C287" t="inlineStr">
        <is>
          <t>FRI</t>
        </is>
      </c>
      <c r="D287">
        <f>IF(AND(W41!G9&lt;&gt;"",W41!G9&lt;&gt;"✗"),1,0)</f>
        <v/>
      </c>
      <c r="E287">
        <f>IF(AND(W41!G10&lt;&gt;"",W41!G10&lt;&gt;"✗"),1,0)</f>
        <v/>
      </c>
      <c r="F287">
        <f>IF(AND(W41!G11&lt;&gt;"",W41!G11&lt;&gt;"✗"),1,0)</f>
        <v/>
      </c>
      <c r="G287">
        <f>IF(AND(W41!G12&lt;&gt;"",W41!G12&lt;&gt;"✗"),1,0)</f>
        <v/>
      </c>
      <c r="H287">
        <f>IF(AND(W41!G13&lt;&gt;"",W41!G13&lt;&gt;"✗"),1,0)</f>
        <v/>
      </c>
      <c r="I287">
        <f>IF(AND(W41!G14&lt;&gt;"",W41!G14&lt;&gt;"✗"),1,0)</f>
        <v/>
      </c>
      <c r="J287">
        <f>IF(AND(W41!G15&lt;&gt;"",W41!G15&lt;&gt;"✗"),1,0)</f>
        <v/>
      </c>
      <c r="K287">
        <f>IF(AND(W41!G16&lt;&gt;"",W41!G16&lt;&gt;"✗"),1,0)</f>
        <v/>
      </c>
      <c r="L287">
        <f>IF(AND(W41!G17&lt;&gt;"",W41!G17&lt;&gt;"✗"),1,0)</f>
        <v/>
      </c>
      <c r="M287">
        <f>IF(AND(W41!G18&lt;&gt;"",W41!G18&lt;&gt;"✗"),1,0)</f>
        <v/>
      </c>
      <c r="O287">
        <f>IF(D287=1,O286+1,0)</f>
        <v/>
      </c>
      <c r="P287">
        <f>IF(E287=1,P286+1,0)</f>
        <v/>
      </c>
      <c r="Q287">
        <f>IF(F287=1,Q286+1,0)</f>
        <v/>
      </c>
      <c r="R287">
        <f>IF(G287=1,R286+1,0)</f>
        <v/>
      </c>
      <c r="S287">
        <f>IF(H287=1,S286+1,0)</f>
        <v/>
      </c>
      <c r="T287">
        <f>IF(I287=1,T286+1,0)</f>
        <v/>
      </c>
      <c r="U287">
        <f>IF(J287=1,U286+1,0)</f>
        <v/>
      </c>
      <c r="V287">
        <f>IF(K287=1,V286+1,0)</f>
        <v/>
      </c>
      <c r="W287">
        <f>IF(L287=1,W286+1,0)</f>
        <v/>
      </c>
      <c r="X287">
        <f>IF(M287=1,X286+1,0)</f>
        <v/>
      </c>
    </row>
    <row r="288">
      <c r="A288" s="58">
        <f>'Start Here'!$E$6+285</f>
        <v/>
      </c>
      <c r="B288" t="n">
        <v>41</v>
      </c>
      <c r="C288" t="inlineStr">
        <is>
          <t>SAT</t>
        </is>
      </c>
      <c r="D288">
        <f>IF(AND(W41!H9&lt;&gt;"",W41!H9&lt;&gt;"✗"),1,0)</f>
        <v/>
      </c>
      <c r="E288">
        <f>IF(AND(W41!H10&lt;&gt;"",W41!H10&lt;&gt;"✗"),1,0)</f>
        <v/>
      </c>
      <c r="F288">
        <f>IF(AND(W41!H11&lt;&gt;"",W41!H11&lt;&gt;"✗"),1,0)</f>
        <v/>
      </c>
      <c r="G288">
        <f>IF(AND(W41!H12&lt;&gt;"",W41!H12&lt;&gt;"✗"),1,0)</f>
        <v/>
      </c>
      <c r="H288">
        <f>IF(AND(W41!H13&lt;&gt;"",W41!H13&lt;&gt;"✗"),1,0)</f>
        <v/>
      </c>
      <c r="I288">
        <f>IF(AND(W41!H14&lt;&gt;"",W41!H14&lt;&gt;"✗"),1,0)</f>
        <v/>
      </c>
      <c r="J288">
        <f>IF(AND(W41!H15&lt;&gt;"",W41!H15&lt;&gt;"✗"),1,0)</f>
        <v/>
      </c>
      <c r="K288">
        <f>IF(AND(W41!H16&lt;&gt;"",W41!H16&lt;&gt;"✗"),1,0)</f>
        <v/>
      </c>
      <c r="L288">
        <f>IF(AND(W41!H17&lt;&gt;"",W41!H17&lt;&gt;"✗"),1,0)</f>
        <v/>
      </c>
      <c r="M288">
        <f>IF(AND(W41!H18&lt;&gt;"",W41!H18&lt;&gt;"✗"),1,0)</f>
        <v/>
      </c>
      <c r="O288">
        <f>IF(D288=1,O287+1,0)</f>
        <v/>
      </c>
      <c r="P288">
        <f>IF(E288=1,P287+1,0)</f>
        <v/>
      </c>
      <c r="Q288">
        <f>IF(F288=1,Q287+1,0)</f>
        <v/>
      </c>
      <c r="R288">
        <f>IF(G288=1,R287+1,0)</f>
        <v/>
      </c>
      <c r="S288">
        <f>IF(H288=1,S287+1,0)</f>
        <v/>
      </c>
      <c r="T288">
        <f>IF(I288=1,T287+1,0)</f>
        <v/>
      </c>
      <c r="U288">
        <f>IF(J288=1,U287+1,0)</f>
        <v/>
      </c>
      <c r="V288">
        <f>IF(K288=1,V287+1,0)</f>
        <v/>
      </c>
      <c r="W288">
        <f>IF(L288=1,W287+1,0)</f>
        <v/>
      </c>
      <c r="X288">
        <f>IF(M288=1,X287+1,0)</f>
        <v/>
      </c>
    </row>
    <row r="289">
      <c r="A289" s="58">
        <f>'Start Here'!$E$6+286</f>
        <v/>
      </c>
      <c r="B289" t="n">
        <v>41</v>
      </c>
      <c r="C289" t="inlineStr">
        <is>
          <t>SUN</t>
        </is>
      </c>
      <c r="D289">
        <f>IF(AND(W41!I9&lt;&gt;"",W41!I9&lt;&gt;"✗"),1,0)</f>
        <v/>
      </c>
      <c r="E289">
        <f>IF(AND(W41!I10&lt;&gt;"",W41!I10&lt;&gt;"✗"),1,0)</f>
        <v/>
      </c>
      <c r="F289">
        <f>IF(AND(W41!I11&lt;&gt;"",W41!I11&lt;&gt;"✗"),1,0)</f>
        <v/>
      </c>
      <c r="G289">
        <f>IF(AND(W41!I12&lt;&gt;"",W41!I12&lt;&gt;"✗"),1,0)</f>
        <v/>
      </c>
      <c r="H289">
        <f>IF(AND(W41!I13&lt;&gt;"",W41!I13&lt;&gt;"✗"),1,0)</f>
        <v/>
      </c>
      <c r="I289">
        <f>IF(AND(W41!I14&lt;&gt;"",W41!I14&lt;&gt;"✗"),1,0)</f>
        <v/>
      </c>
      <c r="J289">
        <f>IF(AND(W41!I15&lt;&gt;"",W41!I15&lt;&gt;"✗"),1,0)</f>
        <v/>
      </c>
      <c r="K289">
        <f>IF(AND(W41!I16&lt;&gt;"",W41!I16&lt;&gt;"✗"),1,0)</f>
        <v/>
      </c>
      <c r="L289">
        <f>IF(AND(W41!I17&lt;&gt;"",W41!I17&lt;&gt;"✗"),1,0)</f>
        <v/>
      </c>
      <c r="M289">
        <f>IF(AND(W41!I18&lt;&gt;"",W41!I18&lt;&gt;"✗"),1,0)</f>
        <v/>
      </c>
      <c r="O289">
        <f>IF(D289=1,O288+1,0)</f>
        <v/>
      </c>
      <c r="P289">
        <f>IF(E289=1,P288+1,0)</f>
        <v/>
      </c>
      <c r="Q289">
        <f>IF(F289=1,Q288+1,0)</f>
        <v/>
      </c>
      <c r="R289">
        <f>IF(G289=1,R288+1,0)</f>
        <v/>
      </c>
      <c r="S289">
        <f>IF(H289=1,S288+1,0)</f>
        <v/>
      </c>
      <c r="T289">
        <f>IF(I289=1,T288+1,0)</f>
        <v/>
      </c>
      <c r="U289">
        <f>IF(J289=1,U288+1,0)</f>
        <v/>
      </c>
      <c r="V289">
        <f>IF(K289=1,V288+1,0)</f>
        <v/>
      </c>
      <c r="W289">
        <f>IF(L289=1,W288+1,0)</f>
        <v/>
      </c>
      <c r="X289">
        <f>IF(M289=1,X288+1,0)</f>
        <v/>
      </c>
    </row>
    <row r="290">
      <c r="A290" s="58">
        <f>'Start Here'!$E$6+287</f>
        <v/>
      </c>
      <c r="B290" t="n">
        <v>42</v>
      </c>
      <c r="C290" t="inlineStr">
        <is>
          <t>MON</t>
        </is>
      </c>
      <c r="D290">
        <f>IF(AND(W42!C9&lt;&gt;"",W42!C9&lt;&gt;"✗"),1,0)</f>
        <v/>
      </c>
      <c r="E290">
        <f>IF(AND(W42!C10&lt;&gt;"",W42!C10&lt;&gt;"✗"),1,0)</f>
        <v/>
      </c>
      <c r="F290">
        <f>IF(AND(W42!C11&lt;&gt;"",W42!C11&lt;&gt;"✗"),1,0)</f>
        <v/>
      </c>
      <c r="G290">
        <f>IF(AND(W42!C12&lt;&gt;"",W42!C12&lt;&gt;"✗"),1,0)</f>
        <v/>
      </c>
      <c r="H290">
        <f>IF(AND(W42!C13&lt;&gt;"",W42!C13&lt;&gt;"✗"),1,0)</f>
        <v/>
      </c>
      <c r="I290">
        <f>IF(AND(W42!C14&lt;&gt;"",W42!C14&lt;&gt;"✗"),1,0)</f>
        <v/>
      </c>
      <c r="J290">
        <f>IF(AND(W42!C15&lt;&gt;"",W42!C15&lt;&gt;"✗"),1,0)</f>
        <v/>
      </c>
      <c r="K290">
        <f>IF(AND(W42!C16&lt;&gt;"",W42!C16&lt;&gt;"✗"),1,0)</f>
        <v/>
      </c>
      <c r="L290">
        <f>IF(AND(W42!C17&lt;&gt;"",W42!C17&lt;&gt;"✗"),1,0)</f>
        <v/>
      </c>
      <c r="M290">
        <f>IF(AND(W42!C18&lt;&gt;"",W42!C18&lt;&gt;"✗"),1,0)</f>
        <v/>
      </c>
      <c r="O290">
        <f>IF(D290=1,O289+1,0)</f>
        <v/>
      </c>
      <c r="P290">
        <f>IF(E290=1,P289+1,0)</f>
        <v/>
      </c>
      <c r="Q290">
        <f>IF(F290=1,Q289+1,0)</f>
        <v/>
      </c>
      <c r="R290">
        <f>IF(G290=1,R289+1,0)</f>
        <v/>
      </c>
      <c r="S290">
        <f>IF(H290=1,S289+1,0)</f>
        <v/>
      </c>
      <c r="T290">
        <f>IF(I290=1,T289+1,0)</f>
        <v/>
      </c>
      <c r="U290">
        <f>IF(J290=1,U289+1,0)</f>
        <v/>
      </c>
      <c r="V290">
        <f>IF(K290=1,V289+1,0)</f>
        <v/>
      </c>
      <c r="W290">
        <f>IF(L290=1,W289+1,0)</f>
        <v/>
      </c>
      <c r="X290">
        <f>IF(M290=1,X289+1,0)</f>
        <v/>
      </c>
    </row>
    <row r="291">
      <c r="A291" s="58">
        <f>'Start Here'!$E$6+288</f>
        <v/>
      </c>
      <c r="B291" t="n">
        <v>42</v>
      </c>
      <c r="C291" t="inlineStr">
        <is>
          <t>TUE</t>
        </is>
      </c>
      <c r="D291">
        <f>IF(AND(W42!D9&lt;&gt;"",W42!D9&lt;&gt;"✗"),1,0)</f>
        <v/>
      </c>
      <c r="E291">
        <f>IF(AND(W42!D10&lt;&gt;"",W42!D10&lt;&gt;"✗"),1,0)</f>
        <v/>
      </c>
      <c r="F291">
        <f>IF(AND(W42!D11&lt;&gt;"",W42!D11&lt;&gt;"✗"),1,0)</f>
        <v/>
      </c>
      <c r="G291">
        <f>IF(AND(W42!D12&lt;&gt;"",W42!D12&lt;&gt;"✗"),1,0)</f>
        <v/>
      </c>
      <c r="H291">
        <f>IF(AND(W42!D13&lt;&gt;"",W42!D13&lt;&gt;"✗"),1,0)</f>
        <v/>
      </c>
      <c r="I291">
        <f>IF(AND(W42!D14&lt;&gt;"",W42!D14&lt;&gt;"✗"),1,0)</f>
        <v/>
      </c>
      <c r="J291">
        <f>IF(AND(W42!D15&lt;&gt;"",W42!D15&lt;&gt;"✗"),1,0)</f>
        <v/>
      </c>
      <c r="K291">
        <f>IF(AND(W42!D16&lt;&gt;"",W42!D16&lt;&gt;"✗"),1,0)</f>
        <v/>
      </c>
      <c r="L291">
        <f>IF(AND(W42!D17&lt;&gt;"",W42!D17&lt;&gt;"✗"),1,0)</f>
        <v/>
      </c>
      <c r="M291">
        <f>IF(AND(W42!D18&lt;&gt;"",W42!D18&lt;&gt;"✗"),1,0)</f>
        <v/>
      </c>
      <c r="O291">
        <f>IF(D291=1,O290+1,0)</f>
        <v/>
      </c>
      <c r="P291">
        <f>IF(E291=1,P290+1,0)</f>
        <v/>
      </c>
      <c r="Q291">
        <f>IF(F291=1,Q290+1,0)</f>
        <v/>
      </c>
      <c r="R291">
        <f>IF(G291=1,R290+1,0)</f>
        <v/>
      </c>
      <c r="S291">
        <f>IF(H291=1,S290+1,0)</f>
        <v/>
      </c>
      <c r="T291">
        <f>IF(I291=1,T290+1,0)</f>
        <v/>
      </c>
      <c r="U291">
        <f>IF(J291=1,U290+1,0)</f>
        <v/>
      </c>
      <c r="V291">
        <f>IF(K291=1,V290+1,0)</f>
        <v/>
      </c>
      <c r="W291">
        <f>IF(L291=1,W290+1,0)</f>
        <v/>
      </c>
      <c r="X291">
        <f>IF(M291=1,X290+1,0)</f>
        <v/>
      </c>
    </row>
    <row r="292">
      <c r="A292" s="58">
        <f>'Start Here'!$E$6+289</f>
        <v/>
      </c>
      <c r="B292" t="n">
        <v>42</v>
      </c>
      <c r="C292" t="inlineStr">
        <is>
          <t>WED</t>
        </is>
      </c>
      <c r="D292">
        <f>IF(AND(W42!E9&lt;&gt;"",W42!E9&lt;&gt;"✗"),1,0)</f>
        <v/>
      </c>
      <c r="E292">
        <f>IF(AND(W42!E10&lt;&gt;"",W42!E10&lt;&gt;"✗"),1,0)</f>
        <v/>
      </c>
      <c r="F292">
        <f>IF(AND(W42!E11&lt;&gt;"",W42!E11&lt;&gt;"✗"),1,0)</f>
        <v/>
      </c>
      <c r="G292">
        <f>IF(AND(W42!E12&lt;&gt;"",W42!E12&lt;&gt;"✗"),1,0)</f>
        <v/>
      </c>
      <c r="H292">
        <f>IF(AND(W42!E13&lt;&gt;"",W42!E13&lt;&gt;"✗"),1,0)</f>
        <v/>
      </c>
      <c r="I292">
        <f>IF(AND(W42!E14&lt;&gt;"",W42!E14&lt;&gt;"✗"),1,0)</f>
        <v/>
      </c>
      <c r="J292">
        <f>IF(AND(W42!E15&lt;&gt;"",W42!E15&lt;&gt;"✗"),1,0)</f>
        <v/>
      </c>
      <c r="K292">
        <f>IF(AND(W42!E16&lt;&gt;"",W42!E16&lt;&gt;"✗"),1,0)</f>
        <v/>
      </c>
      <c r="L292">
        <f>IF(AND(W42!E17&lt;&gt;"",W42!E17&lt;&gt;"✗"),1,0)</f>
        <v/>
      </c>
      <c r="M292">
        <f>IF(AND(W42!E18&lt;&gt;"",W42!E18&lt;&gt;"✗"),1,0)</f>
        <v/>
      </c>
      <c r="O292">
        <f>IF(D292=1,O291+1,0)</f>
        <v/>
      </c>
      <c r="P292">
        <f>IF(E292=1,P291+1,0)</f>
        <v/>
      </c>
      <c r="Q292">
        <f>IF(F292=1,Q291+1,0)</f>
        <v/>
      </c>
      <c r="R292">
        <f>IF(G292=1,R291+1,0)</f>
        <v/>
      </c>
      <c r="S292">
        <f>IF(H292=1,S291+1,0)</f>
        <v/>
      </c>
      <c r="T292">
        <f>IF(I292=1,T291+1,0)</f>
        <v/>
      </c>
      <c r="U292">
        <f>IF(J292=1,U291+1,0)</f>
        <v/>
      </c>
      <c r="V292">
        <f>IF(K292=1,V291+1,0)</f>
        <v/>
      </c>
      <c r="W292">
        <f>IF(L292=1,W291+1,0)</f>
        <v/>
      </c>
      <c r="X292">
        <f>IF(M292=1,X291+1,0)</f>
        <v/>
      </c>
    </row>
    <row r="293">
      <c r="A293" s="58">
        <f>'Start Here'!$E$6+290</f>
        <v/>
      </c>
      <c r="B293" t="n">
        <v>42</v>
      </c>
      <c r="C293" t="inlineStr">
        <is>
          <t>THU</t>
        </is>
      </c>
      <c r="D293">
        <f>IF(AND(W42!F9&lt;&gt;"",W42!F9&lt;&gt;"✗"),1,0)</f>
        <v/>
      </c>
      <c r="E293">
        <f>IF(AND(W42!F10&lt;&gt;"",W42!F10&lt;&gt;"✗"),1,0)</f>
        <v/>
      </c>
      <c r="F293">
        <f>IF(AND(W42!F11&lt;&gt;"",W42!F11&lt;&gt;"✗"),1,0)</f>
        <v/>
      </c>
      <c r="G293">
        <f>IF(AND(W42!F12&lt;&gt;"",W42!F12&lt;&gt;"✗"),1,0)</f>
        <v/>
      </c>
      <c r="H293">
        <f>IF(AND(W42!F13&lt;&gt;"",W42!F13&lt;&gt;"✗"),1,0)</f>
        <v/>
      </c>
      <c r="I293">
        <f>IF(AND(W42!F14&lt;&gt;"",W42!F14&lt;&gt;"✗"),1,0)</f>
        <v/>
      </c>
      <c r="J293">
        <f>IF(AND(W42!F15&lt;&gt;"",W42!F15&lt;&gt;"✗"),1,0)</f>
        <v/>
      </c>
      <c r="K293">
        <f>IF(AND(W42!F16&lt;&gt;"",W42!F16&lt;&gt;"✗"),1,0)</f>
        <v/>
      </c>
      <c r="L293">
        <f>IF(AND(W42!F17&lt;&gt;"",W42!F17&lt;&gt;"✗"),1,0)</f>
        <v/>
      </c>
      <c r="M293">
        <f>IF(AND(W42!F18&lt;&gt;"",W42!F18&lt;&gt;"✗"),1,0)</f>
        <v/>
      </c>
      <c r="O293">
        <f>IF(D293=1,O292+1,0)</f>
        <v/>
      </c>
      <c r="P293">
        <f>IF(E293=1,P292+1,0)</f>
        <v/>
      </c>
      <c r="Q293">
        <f>IF(F293=1,Q292+1,0)</f>
        <v/>
      </c>
      <c r="R293">
        <f>IF(G293=1,R292+1,0)</f>
        <v/>
      </c>
      <c r="S293">
        <f>IF(H293=1,S292+1,0)</f>
        <v/>
      </c>
      <c r="T293">
        <f>IF(I293=1,T292+1,0)</f>
        <v/>
      </c>
      <c r="U293">
        <f>IF(J293=1,U292+1,0)</f>
        <v/>
      </c>
      <c r="V293">
        <f>IF(K293=1,V292+1,0)</f>
        <v/>
      </c>
      <c r="W293">
        <f>IF(L293=1,W292+1,0)</f>
        <v/>
      </c>
      <c r="X293">
        <f>IF(M293=1,X292+1,0)</f>
        <v/>
      </c>
    </row>
    <row r="294">
      <c r="A294" s="58">
        <f>'Start Here'!$E$6+291</f>
        <v/>
      </c>
      <c r="B294" t="n">
        <v>42</v>
      </c>
      <c r="C294" t="inlineStr">
        <is>
          <t>FRI</t>
        </is>
      </c>
      <c r="D294">
        <f>IF(AND(W42!G9&lt;&gt;"",W42!G9&lt;&gt;"✗"),1,0)</f>
        <v/>
      </c>
      <c r="E294">
        <f>IF(AND(W42!G10&lt;&gt;"",W42!G10&lt;&gt;"✗"),1,0)</f>
        <v/>
      </c>
      <c r="F294">
        <f>IF(AND(W42!G11&lt;&gt;"",W42!G11&lt;&gt;"✗"),1,0)</f>
        <v/>
      </c>
      <c r="G294">
        <f>IF(AND(W42!G12&lt;&gt;"",W42!G12&lt;&gt;"✗"),1,0)</f>
        <v/>
      </c>
      <c r="H294">
        <f>IF(AND(W42!G13&lt;&gt;"",W42!G13&lt;&gt;"✗"),1,0)</f>
        <v/>
      </c>
      <c r="I294">
        <f>IF(AND(W42!G14&lt;&gt;"",W42!G14&lt;&gt;"✗"),1,0)</f>
        <v/>
      </c>
      <c r="J294">
        <f>IF(AND(W42!G15&lt;&gt;"",W42!G15&lt;&gt;"✗"),1,0)</f>
        <v/>
      </c>
      <c r="K294">
        <f>IF(AND(W42!G16&lt;&gt;"",W42!G16&lt;&gt;"✗"),1,0)</f>
        <v/>
      </c>
      <c r="L294">
        <f>IF(AND(W42!G17&lt;&gt;"",W42!G17&lt;&gt;"✗"),1,0)</f>
        <v/>
      </c>
      <c r="M294">
        <f>IF(AND(W42!G18&lt;&gt;"",W42!G18&lt;&gt;"✗"),1,0)</f>
        <v/>
      </c>
      <c r="O294">
        <f>IF(D294=1,O293+1,0)</f>
        <v/>
      </c>
      <c r="P294">
        <f>IF(E294=1,P293+1,0)</f>
        <v/>
      </c>
      <c r="Q294">
        <f>IF(F294=1,Q293+1,0)</f>
        <v/>
      </c>
      <c r="R294">
        <f>IF(G294=1,R293+1,0)</f>
        <v/>
      </c>
      <c r="S294">
        <f>IF(H294=1,S293+1,0)</f>
        <v/>
      </c>
      <c r="T294">
        <f>IF(I294=1,T293+1,0)</f>
        <v/>
      </c>
      <c r="U294">
        <f>IF(J294=1,U293+1,0)</f>
        <v/>
      </c>
      <c r="V294">
        <f>IF(K294=1,V293+1,0)</f>
        <v/>
      </c>
      <c r="W294">
        <f>IF(L294=1,W293+1,0)</f>
        <v/>
      </c>
      <c r="X294">
        <f>IF(M294=1,X293+1,0)</f>
        <v/>
      </c>
    </row>
    <row r="295">
      <c r="A295" s="58">
        <f>'Start Here'!$E$6+292</f>
        <v/>
      </c>
      <c r="B295" t="n">
        <v>42</v>
      </c>
      <c r="C295" t="inlineStr">
        <is>
          <t>SAT</t>
        </is>
      </c>
      <c r="D295">
        <f>IF(AND(W42!H9&lt;&gt;"",W42!H9&lt;&gt;"✗"),1,0)</f>
        <v/>
      </c>
      <c r="E295">
        <f>IF(AND(W42!H10&lt;&gt;"",W42!H10&lt;&gt;"✗"),1,0)</f>
        <v/>
      </c>
      <c r="F295">
        <f>IF(AND(W42!H11&lt;&gt;"",W42!H11&lt;&gt;"✗"),1,0)</f>
        <v/>
      </c>
      <c r="G295">
        <f>IF(AND(W42!H12&lt;&gt;"",W42!H12&lt;&gt;"✗"),1,0)</f>
        <v/>
      </c>
      <c r="H295">
        <f>IF(AND(W42!H13&lt;&gt;"",W42!H13&lt;&gt;"✗"),1,0)</f>
        <v/>
      </c>
      <c r="I295">
        <f>IF(AND(W42!H14&lt;&gt;"",W42!H14&lt;&gt;"✗"),1,0)</f>
        <v/>
      </c>
      <c r="J295">
        <f>IF(AND(W42!H15&lt;&gt;"",W42!H15&lt;&gt;"✗"),1,0)</f>
        <v/>
      </c>
      <c r="K295">
        <f>IF(AND(W42!H16&lt;&gt;"",W42!H16&lt;&gt;"✗"),1,0)</f>
        <v/>
      </c>
      <c r="L295">
        <f>IF(AND(W42!H17&lt;&gt;"",W42!H17&lt;&gt;"✗"),1,0)</f>
        <v/>
      </c>
      <c r="M295">
        <f>IF(AND(W42!H18&lt;&gt;"",W42!H18&lt;&gt;"✗"),1,0)</f>
        <v/>
      </c>
      <c r="O295">
        <f>IF(D295=1,O294+1,0)</f>
        <v/>
      </c>
      <c r="P295">
        <f>IF(E295=1,P294+1,0)</f>
        <v/>
      </c>
      <c r="Q295">
        <f>IF(F295=1,Q294+1,0)</f>
        <v/>
      </c>
      <c r="R295">
        <f>IF(G295=1,R294+1,0)</f>
        <v/>
      </c>
      <c r="S295">
        <f>IF(H295=1,S294+1,0)</f>
        <v/>
      </c>
      <c r="T295">
        <f>IF(I295=1,T294+1,0)</f>
        <v/>
      </c>
      <c r="U295">
        <f>IF(J295=1,U294+1,0)</f>
        <v/>
      </c>
      <c r="V295">
        <f>IF(K295=1,V294+1,0)</f>
        <v/>
      </c>
      <c r="W295">
        <f>IF(L295=1,W294+1,0)</f>
        <v/>
      </c>
      <c r="X295">
        <f>IF(M295=1,X294+1,0)</f>
        <v/>
      </c>
    </row>
    <row r="296">
      <c r="A296" s="58">
        <f>'Start Here'!$E$6+293</f>
        <v/>
      </c>
      <c r="B296" t="n">
        <v>42</v>
      </c>
      <c r="C296" t="inlineStr">
        <is>
          <t>SUN</t>
        </is>
      </c>
      <c r="D296">
        <f>IF(AND(W42!I9&lt;&gt;"",W42!I9&lt;&gt;"✗"),1,0)</f>
        <v/>
      </c>
      <c r="E296">
        <f>IF(AND(W42!I10&lt;&gt;"",W42!I10&lt;&gt;"✗"),1,0)</f>
        <v/>
      </c>
      <c r="F296">
        <f>IF(AND(W42!I11&lt;&gt;"",W42!I11&lt;&gt;"✗"),1,0)</f>
        <v/>
      </c>
      <c r="G296">
        <f>IF(AND(W42!I12&lt;&gt;"",W42!I12&lt;&gt;"✗"),1,0)</f>
        <v/>
      </c>
      <c r="H296">
        <f>IF(AND(W42!I13&lt;&gt;"",W42!I13&lt;&gt;"✗"),1,0)</f>
        <v/>
      </c>
      <c r="I296">
        <f>IF(AND(W42!I14&lt;&gt;"",W42!I14&lt;&gt;"✗"),1,0)</f>
        <v/>
      </c>
      <c r="J296">
        <f>IF(AND(W42!I15&lt;&gt;"",W42!I15&lt;&gt;"✗"),1,0)</f>
        <v/>
      </c>
      <c r="K296">
        <f>IF(AND(W42!I16&lt;&gt;"",W42!I16&lt;&gt;"✗"),1,0)</f>
        <v/>
      </c>
      <c r="L296">
        <f>IF(AND(W42!I17&lt;&gt;"",W42!I17&lt;&gt;"✗"),1,0)</f>
        <v/>
      </c>
      <c r="M296">
        <f>IF(AND(W42!I18&lt;&gt;"",W42!I18&lt;&gt;"✗"),1,0)</f>
        <v/>
      </c>
      <c r="O296">
        <f>IF(D296=1,O295+1,0)</f>
        <v/>
      </c>
      <c r="P296">
        <f>IF(E296=1,P295+1,0)</f>
        <v/>
      </c>
      <c r="Q296">
        <f>IF(F296=1,Q295+1,0)</f>
        <v/>
      </c>
      <c r="R296">
        <f>IF(G296=1,R295+1,0)</f>
        <v/>
      </c>
      <c r="S296">
        <f>IF(H296=1,S295+1,0)</f>
        <v/>
      </c>
      <c r="T296">
        <f>IF(I296=1,T295+1,0)</f>
        <v/>
      </c>
      <c r="U296">
        <f>IF(J296=1,U295+1,0)</f>
        <v/>
      </c>
      <c r="V296">
        <f>IF(K296=1,V295+1,0)</f>
        <v/>
      </c>
      <c r="W296">
        <f>IF(L296=1,W295+1,0)</f>
        <v/>
      </c>
      <c r="X296">
        <f>IF(M296=1,X295+1,0)</f>
        <v/>
      </c>
    </row>
    <row r="297">
      <c r="A297" s="58">
        <f>'Start Here'!$E$6+294</f>
        <v/>
      </c>
      <c r="B297" t="n">
        <v>43</v>
      </c>
      <c r="C297" t="inlineStr">
        <is>
          <t>MON</t>
        </is>
      </c>
      <c r="D297">
        <f>IF(AND(W43!C9&lt;&gt;"",W43!C9&lt;&gt;"✗"),1,0)</f>
        <v/>
      </c>
      <c r="E297">
        <f>IF(AND(W43!C10&lt;&gt;"",W43!C10&lt;&gt;"✗"),1,0)</f>
        <v/>
      </c>
      <c r="F297">
        <f>IF(AND(W43!C11&lt;&gt;"",W43!C11&lt;&gt;"✗"),1,0)</f>
        <v/>
      </c>
      <c r="G297">
        <f>IF(AND(W43!C12&lt;&gt;"",W43!C12&lt;&gt;"✗"),1,0)</f>
        <v/>
      </c>
      <c r="H297">
        <f>IF(AND(W43!C13&lt;&gt;"",W43!C13&lt;&gt;"✗"),1,0)</f>
        <v/>
      </c>
      <c r="I297">
        <f>IF(AND(W43!C14&lt;&gt;"",W43!C14&lt;&gt;"✗"),1,0)</f>
        <v/>
      </c>
      <c r="J297">
        <f>IF(AND(W43!C15&lt;&gt;"",W43!C15&lt;&gt;"✗"),1,0)</f>
        <v/>
      </c>
      <c r="K297">
        <f>IF(AND(W43!C16&lt;&gt;"",W43!C16&lt;&gt;"✗"),1,0)</f>
        <v/>
      </c>
      <c r="L297">
        <f>IF(AND(W43!C17&lt;&gt;"",W43!C17&lt;&gt;"✗"),1,0)</f>
        <v/>
      </c>
      <c r="M297">
        <f>IF(AND(W43!C18&lt;&gt;"",W43!C18&lt;&gt;"✗"),1,0)</f>
        <v/>
      </c>
      <c r="O297">
        <f>IF(D297=1,O296+1,0)</f>
        <v/>
      </c>
      <c r="P297">
        <f>IF(E297=1,P296+1,0)</f>
        <v/>
      </c>
      <c r="Q297">
        <f>IF(F297=1,Q296+1,0)</f>
        <v/>
      </c>
      <c r="R297">
        <f>IF(G297=1,R296+1,0)</f>
        <v/>
      </c>
      <c r="S297">
        <f>IF(H297=1,S296+1,0)</f>
        <v/>
      </c>
      <c r="T297">
        <f>IF(I297=1,T296+1,0)</f>
        <v/>
      </c>
      <c r="U297">
        <f>IF(J297=1,U296+1,0)</f>
        <v/>
      </c>
      <c r="V297">
        <f>IF(K297=1,V296+1,0)</f>
        <v/>
      </c>
      <c r="W297">
        <f>IF(L297=1,W296+1,0)</f>
        <v/>
      </c>
      <c r="X297">
        <f>IF(M297=1,X296+1,0)</f>
        <v/>
      </c>
    </row>
    <row r="298">
      <c r="A298" s="58">
        <f>'Start Here'!$E$6+295</f>
        <v/>
      </c>
      <c r="B298" t="n">
        <v>43</v>
      </c>
      <c r="C298" t="inlineStr">
        <is>
          <t>TUE</t>
        </is>
      </c>
      <c r="D298">
        <f>IF(AND(W43!D9&lt;&gt;"",W43!D9&lt;&gt;"✗"),1,0)</f>
        <v/>
      </c>
      <c r="E298">
        <f>IF(AND(W43!D10&lt;&gt;"",W43!D10&lt;&gt;"✗"),1,0)</f>
        <v/>
      </c>
      <c r="F298">
        <f>IF(AND(W43!D11&lt;&gt;"",W43!D11&lt;&gt;"✗"),1,0)</f>
        <v/>
      </c>
      <c r="G298">
        <f>IF(AND(W43!D12&lt;&gt;"",W43!D12&lt;&gt;"✗"),1,0)</f>
        <v/>
      </c>
      <c r="H298">
        <f>IF(AND(W43!D13&lt;&gt;"",W43!D13&lt;&gt;"✗"),1,0)</f>
        <v/>
      </c>
      <c r="I298">
        <f>IF(AND(W43!D14&lt;&gt;"",W43!D14&lt;&gt;"✗"),1,0)</f>
        <v/>
      </c>
      <c r="J298">
        <f>IF(AND(W43!D15&lt;&gt;"",W43!D15&lt;&gt;"✗"),1,0)</f>
        <v/>
      </c>
      <c r="K298">
        <f>IF(AND(W43!D16&lt;&gt;"",W43!D16&lt;&gt;"✗"),1,0)</f>
        <v/>
      </c>
      <c r="L298">
        <f>IF(AND(W43!D17&lt;&gt;"",W43!D17&lt;&gt;"✗"),1,0)</f>
        <v/>
      </c>
      <c r="M298">
        <f>IF(AND(W43!D18&lt;&gt;"",W43!D18&lt;&gt;"✗"),1,0)</f>
        <v/>
      </c>
      <c r="O298">
        <f>IF(D298=1,O297+1,0)</f>
        <v/>
      </c>
      <c r="P298">
        <f>IF(E298=1,P297+1,0)</f>
        <v/>
      </c>
      <c r="Q298">
        <f>IF(F298=1,Q297+1,0)</f>
        <v/>
      </c>
      <c r="R298">
        <f>IF(G298=1,R297+1,0)</f>
        <v/>
      </c>
      <c r="S298">
        <f>IF(H298=1,S297+1,0)</f>
        <v/>
      </c>
      <c r="T298">
        <f>IF(I298=1,T297+1,0)</f>
        <v/>
      </c>
      <c r="U298">
        <f>IF(J298=1,U297+1,0)</f>
        <v/>
      </c>
      <c r="V298">
        <f>IF(K298=1,V297+1,0)</f>
        <v/>
      </c>
      <c r="W298">
        <f>IF(L298=1,W297+1,0)</f>
        <v/>
      </c>
      <c r="X298">
        <f>IF(M298=1,X297+1,0)</f>
        <v/>
      </c>
    </row>
    <row r="299">
      <c r="A299" s="58">
        <f>'Start Here'!$E$6+296</f>
        <v/>
      </c>
      <c r="B299" t="n">
        <v>43</v>
      </c>
      <c r="C299" t="inlineStr">
        <is>
          <t>WED</t>
        </is>
      </c>
      <c r="D299">
        <f>IF(AND(W43!E9&lt;&gt;"",W43!E9&lt;&gt;"✗"),1,0)</f>
        <v/>
      </c>
      <c r="E299">
        <f>IF(AND(W43!E10&lt;&gt;"",W43!E10&lt;&gt;"✗"),1,0)</f>
        <v/>
      </c>
      <c r="F299">
        <f>IF(AND(W43!E11&lt;&gt;"",W43!E11&lt;&gt;"✗"),1,0)</f>
        <v/>
      </c>
      <c r="G299">
        <f>IF(AND(W43!E12&lt;&gt;"",W43!E12&lt;&gt;"✗"),1,0)</f>
        <v/>
      </c>
      <c r="H299">
        <f>IF(AND(W43!E13&lt;&gt;"",W43!E13&lt;&gt;"✗"),1,0)</f>
        <v/>
      </c>
      <c r="I299">
        <f>IF(AND(W43!E14&lt;&gt;"",W43!E14&lt;&gt;"✗"),1,0)</f>
        <v/>
      </c>
      <c r="J299">
        <f>IF(AND(W43!E15&lt;&gt;"",W43!E15&lt;&gt;"✗"),1,0)</f>
        <v/>
      </c>
      <c r="K299">
        <f>IF(AND(W43!E16&lt;&gt;"",W43!E16&lt;&gt;"✗"),1,0)</f>
        <v/>
      </c>
      <c r="L299">
        <f>IF(AND(W43!E17&lt;&gt;"",W43!E17&lt;&gt;"✗"),1,0)</f>
        <v/>
      </c>
      <c r="M299">
        <f>IF(AND(W43!E18&lt;&gt;"",W43!E18&lt;&gt;"✗"),1,0)</f>
        <v/>
      </c>
      <c r="O299">
        <f>IF(D299=1,O298+1,0)</f>
        <v/>
      </c>
      <c r="P299">
        <f>IF(E299=1,P298+1,0)</f>
        <v/>
      </c>
      <c r="Q299">
        <f>IF(F299=1,Q298+1,0)</f>
        <v/>
      </c>
      <c r="R299">
        <f>IF(G299=1,R298+1,0)</f>
        <v/>
      </c>
      <c r="S299">
        <f>IF(H299=1,S298+1,0)</f>
        <v/>
      </c>
      <c r="T299">
        <f>IF(I299=1,T298+1,0)</f>
        <v/>
      </c>
      <c r="U299">
        <f>IF(J299=1,U298+1,0)</f>
        <v/>
      </c>
      <c r="V299">
        <f>IF(K299=1,V298+1,0)</f>
        <v/>
      </c>
      <c r="W299">
        <f>IF(L299=1,W298+1,0)</f>
        <v/>
      </c>
      <c r="X299">
        <f>IF(M299=1,X298+1,0)</f>
        <v/>
      </c>
    </row>
    <row r="300">
      <c r="A300" s="58">
        <f>'Start Here'!$E$6+297</f>
        <v/>
      </c>
      <c r="B300" t="n">
        <v>43</v>
      </c>
      <c r="C300" t="inlineStr">
        <is>
          <t>THU</t>
        </is>
      </c>
      <c r="D300">
        <f>IF(AND(W43!F9&lt;&gt;"",W43!F9&lt;&gt;"✗"),1,0)</f>
        <v/>
      </c>
      <c r="E300">
        <f>IF(AND(W43!F10&lt;&gt;"",W43!F10&lt;&gt;"✗"),1,0)</f>
        <v/>
      </c>
      <c r="F300">
        <f>IF(AND(W43!F11&lt;&gt;"",W43!F11&lt;&gt;"✗"),1,0)</f>
        <v/>
      </c>
      <c r="G300">
        <f>IF(AND(W43!F12&lt;&gt;"",W43!F12&lt;&gt;"✗"),1,0)</f>
        <v/>
      </c>
      <c r="H300">
        <f>IF(AND(W43!F13&lt;&gt;"",W43!F13&lt;&gt;"✗"),1,0)</f>
        <v/>
      </c>
      <c r="I300">
        <f>IF(AND(W43!F14&lt;&gt;"",W43!F14&lt;&gt;"✗"),1,0)</f>
        <v/>
      </c>
      <c r="J300">
        <f>IF(AND(W43!F15&lt;&gt;"",W43!F15&lt;&gt;"✗"),1,0)</f>
        <v/>
      </c>
      <c r="K300">
        <f>IF(AND(W43!F16&lt;&gt;"",W43!F16&lt;&gt;"✗"),1,0)</f>
        <v/>
      </c>
      <c r="L300">
        <f>IF(AND(W43!F17&lt;&gt;"",W43!F17&lt;&gt;"✗"),1,0)</f>
        <v/>
      </c>
      <c r="M300">
        <f>IF(AND(W43!F18&lt;&gt;"",W43!F18&lt;&gt;"✗"),1,0)</f>
        <v/>
      </c>
      <c r="O300">
        <f>IF(D300=1,O299+1,0)</f>
        <v/>
      </c>
      <c r="P300">
        <f>IF(E300=1,P299+1,0)</f>
        <v/>
      </c>
      <c r="Q300">
        <f>IF(F300=1,Q299+1,0)</f>
        <v/>
      </c>
      <c r="R300">
        <f>IF(G300=1,R299+1,0)</f>
        <v/>
      </c>
      <c r="S300">
        <f>IF(H300=1,S299+1,0)</f>
        <v/>
      </c>
      <c r="T300">
        <f>IF(I300=1,T299+1,0)</f>
        <v/>
      </c>
      <c r="U300">
        <f>IF(J300=1,U299+1,0)</f>
        <v/>
      </c>
      <c r="V300">
        <f>IF(K300=1,V299+1,0)</f>
        <v/>
      </c>
      <c r="W300">
        <f>IF(L300=1,W299+1,0)</f>
        <v/>
      </c>
      <c r="X300">
        <f>IF(M300=1,X299+1,0)</f>
        <v/>
      </c>
    </row>
    <row r="301">
      <c r="A301" s="58">
        <f>'Start Here'!$E$6+298</f>
        <v/>
      </c>
      <c r="B301" t="n">
        <v>43</v>
      </c>
      <c r="C301" t="inlineStr">
        <is>
          <t>FRI</t>
        </is>
      </c>
      <c r="D301">
        <f>IF(AND(W43!G9&lt;&gt;"",W43!G9&lt;&gt;"✗"),1,0)</f>
        <v/>
      </c>
      <c r="E301">
        <f>IF(AND(W43!G10&lt;&gt;"",W43!G10&lt;&gt;"✗"),1,0)</f>
        <v/>
      </c>
      <c r="F301">
        <f>IF(AND(W43!G11&lt;&gt;"",W43!G11&lt;&gt;"✗"),1,0)</f>
        <v/>
      </c>
      <c r="G301">
        <f>IF(AND(W43!G12&lt;&gt;"",W43!G12&lt;&gt;"✗"),1,0)</f>
        <v/>
      </c>
      <c r="H301">
        <f>IF(AND(W43!G13&lt;&gt;"",W43!G13&lt;&gt;"✗"),1,0)</f>
        <v/>
      </c>
      <c r="I301">
        <f>IF(AND(W43!G14&lt;&gt;"",W43!G14&lt;&gt;"✗"),1,0)</f>
        <v/>
      </c>
      <c r="J301">
        <f>IF(AND(W43!G15&lt;&gt;"",W43!G15&lt;&gt;"✗"),1,0)</f>
        <v/>
      </c>
      <c r="K301">
        <f>IF(AND(W43!G16&lt;&gt;"",W43!G16&lt;&gt;"✗"),1,0)</f>
        <v/>
      </c>
      <c r="L301">
        <f>IF(AND(W43!G17&lt;&gt;"",W43!G17&lt;&gt;"✗"),1,0)</f>
        <v/>
      </c>
      <c r="M301">
        <f>IF(AND(W43!G18&lt;&gt;"",W43!G18&lt;&gt;"✗"),1,0)</f>
        <v/>
      </c>
      <c r="O301">
        <f>IF(D301=1,O300+1,0)</f>
        <v/>
      </c>
      <c r="P301">
        <f>IF(E301=1,P300+1,0)</f>
        <v/>
      </c>
      <c r="Q301">
        <f>IF(F301=1,Q300+1,0)</f>
        <v/>
      </c>
      <c r="R301">
        <f>IF(G301=1,R300+1,0)</f>
        <v/>
      </c>
      <c r="S301">
        <f>IF(H301=1,S300+1,0)</f>
        <v/>
      </c>
      <c r="T301">
        <f>IF(I301=1,T300+1,0)</f>
        <v/>
      </c>
      <c r="U301">
        <f>IF(J301=1,U300+1,0)</f>
        <v/>
      </c>
      <c r="V301">
        <f>IF(K301=1,V300+1,0)</f>
        <v/>
      </c>
      <c r="W301">
        <f>IF(L301=1,W300+1,0)</f>
        <v/>
      </c>
      <c r="X301">
        <f>IF(M301=1,X300+1,0)</f>
        <v/>
      </c>
    </row>
    <row r="302">
      <c r="A302" s="58">
        <f>'Start Here'!$E$6+299</f>
        <v/>
      </c>
      <c r="B302" t="n">
        <v>43</v>
      </c>
      <c r="C302" t="inlineStr">
        <is>
          <t>SAT</t>
        </is>
      </c>
      <c r="D302">
        <f>IF(AND(W43!H9&lt;&gt;"",W43!H9&lt;&gt;"✗"),1,0)</f>
        <v/>
      </c>
      <c r="E302">
        <f>IF(AND(W43!H10&lt;&gt;"",W43!H10&lt;&gt;"✗"),1,0)</f>
        <v/>
      </c>
      <c r="F302">
        <f>IF(AND(W43!H11&lt;&gt;"",W43!H11&lt;&gt;"✗"),1,0)</f>
        <v/>
      </c>
      <c r="G302">
        <f>IF(AND(W43!H12&lt;&gt;"",W43!H12&lt;&gt;"✗"),1,0)</f>
        <v/>
      </c>
      <c r="H302">
        <f>IF(AND(W43!H13&lt;&gt;"",W43!H13&lt;&gt;"✗"),1,0)</f>
        <v/>
      </c>
      <c r="I302">
        <f>IF(AND(W43!H14&lt;&gt;"",W43!H14&lt;&gt;"✗"),1,0)</f>
        <v/>
      </c>
      <c r="J302">
        <f>IF(AND(W43!H15&lt;&gt;"",W43!H15&lt;&gt;"✗"),1,0)</f>
        <v/>
      </c>
      <c r="K302">
        <f>IF(AND(W43!H16&lt;&gt;"",W43!H16&lt;&gt;"✗"),1,0)</f>
        <v/>
      </c>
      <c r="L302">
        <f>IF(AND(W43!H17&lt;&gt;"",W43!H17&lt;&gt;"✗"),1,0)</f>
        <v/>
      </c>
      <c r="M302">
        <f>IF(AND(W43!H18&lt;&gt;"",W43!H18&lt;&gt;"✗"),1,0)</f>
        <v/>
      </c>
      <c r="O302">
        <f>IF(D302=1,O301+1,0)</f>
        <v/>
      </c>
      <c r="P302">
        <f>IF(E302=1,P301+1,0)</f>
        <v/>
      </c>
      <c r="Q302">
        <f>IF(F302=1,Q301+1,0)</f>
        <v/>
      </c>
      <c r="R302">
        <f>IF(G302=1,R301+1,0)</f>
        <v/>
      </c>
      <c r="S302">
        <f>IF(H302=1,S301+1,0)</f>
        <v/>
      </c>
      <c r="T302">
        <f>IF(I302=1,T301+1,0)</f>
        <v/>
      </c>
      <c r="U302">
        <f>IF(J302=1,U301+1,0)</f>
        <v/>
      </c>
      <c r="V302">
        <f>IF(K302=1,V301+1,0)</f>
        <v/>
      </c>
      <c r="W302">
        <f>IF(L302=1,W301+1,0)</f>
        <v/>
      </c>
      <c r="X302">
        <f>IF(M302=1,X301+1,0)</f>
        <v/>
      </c>
    </row>
    <row r="303">
      <c r="A303" s="58">
        <f>'Start Here'!$E$6+300</f>
        <v/>
      </c>
      <c r="B303" t="n">
        <v>43</v>
      </c>
      <c r="C303" t="inlineStr">
        <is>
          <t>SUN</t>
        </is>
      </c>
      <c r="D303">
        <f>IF(AND(W43!I9&lt;&gt;"",W43!I9&lt;&gt;"✗"),1,0)</f>
        <v/>
      </c>
      <c r="E303">
        <f>IF(AND(W43!I10&lt;&gt;"",W43!I10&lt;&gt;"✗"),1,0)</f>
        <v/>
      </c>
      <c r="F303">
        <f>IF(AND(W43!I11&lt;&gt;"",W43!I11&lt;&gt;"✗"),1,0)</f>
        <v/>
      </c>
      <c r="G303">
        <f>IF(AND(W43!I12&lt;&gt;"",W43!I12&lt;&gt;"✗"),1,0)</f>
        <v/>
      </c>
      <c r="H303">
        <f>IF(AND(W43!I13&lt;&gt;"",W43!I13&lt;&gt;"✗"),1,0)</f>
        <v/>
      </c>
      <c r="I303">
        <f>IF(AND(W43!I14&lt;&gt;"",W43!I14&lt;&gt;"✗"),1,0)</f>
        <v/>
      </c>
      <c r="J303">
        <f>IF(AND(W43!I15&lt;&gt;"",W43!I15&lt;&gt;"✗"),1,0)</f>
        <v/>
      </c>
      <c r="K303">
        <f>IF(AND(W43!I16&lt;&gt;"",W43!I16&lt;&gt;"✗"),1,0)</f>
        <v/>
      </c>
      <c r="L303">
        <f>IF(AND(W43!I17&lt;&gt;"",W43!I17&lt;&gt;"✗"),1,0)</f>
        <v/>
      </c>
      <c r="M303">
        <f>IF(AND(W43!I18&lt;&gt;"",W43!I18&lt;&gt;"✗"),1,0)</f>
        <v/>
      </c>
      <c r="O303">
        <f>IF(D303=1,O302+1,0)</f>
        <v/>
      </c>
      <c r="P303">
        <f>IF(E303=1,P302+1,0)</f>
        <v/>
      </c>
      <c r="Q303">
        <f>IF(F303=1,Q302+1,0)</f>
        <v/>
      </c>
      <c r="R303">
        <f>IF(G303=1,R302+1,0)</f>
        <v/>
      </c>
      <c r="S303">
        <f>IF(H303=1,S302+1,0)</f>
        <v/>
      </c>
      <c r="T303">
        <f>IF(I303=1,T302+1,0)</f>
        <v/>
      </c>
      <c r="U303">
        <f>IF(J303=1,U302+1,0)</f>
        <v/>
      </c>
      <c r="V303">
        <f>IF(K303=1,V302+1,0)</f>
        <v/>
      </c>
      <c r="W303">
        <f>IF(L303=1,W302+1,0)</f>
        <v/>
      </c>
      <c r="X303">
        <f>IF(M303=1,X302+1,0)</f>
        <v/>
      </c>
    </row>
    <row r="304">
      <c r="A304" s="58">
        <f>'Start Here'!$E$6+301</f>
        <v/>
      </c>
      <c r="B304" t="n">
        <v>44</v>
      </c>
      <c r="C304" t="inlineStr">
        <is>
          <t>MON</t>
        </is>
      </c>
      <c r="D304">
        <f>IF(AND(W44!C9&lt;&gt;"",W44!C9&lt;&gt;"✗"),1,0)</f>
        <v/>
      </c>
      <c r="E304">
        <f>IF(AND(W44!C10&lt;&gt;"",W44!C10&lt;&gt;"✗"),1,0)</f>
        <v/>
      </c>
      <c r="F304">
        <f>IF(AND(W44!C11&lt;&gt;"",W44!C11&lt;&gt;"✗"),1,0)</f>
        <v/>
      </c>
      <c r="G304">
        <f>IF(AND(W44!C12&lt;&gt;"",W44!C12&lt;&gt;"✗"),1,0)</f>
        <v/>
      </c>
      <c r="H304">
        <f>IF(AND(W44!C13&lt;&gt;"",W44!C13&lt;&gt;"✗"),1,0)</f>
        <v/>
      </c>
      <c r="I304">
        <f>IF(AND(W44!C14&lt;&gt;"",W44!C14&lt;&gt;"✗"),1,0)</f>
        <v/>
      </c>
      <c r="J304">
        <f>IF(AND(W44!C15&lt;&gt;"",W44!C15&lt;&gt;"✗"),1,0)</f>
        <v/>
      </c>
      <c r="K304">
        <f>IF(AND(W44!C16&lt;&gt;"",W44!C16&lt;&gt;"✗"),1,0)</f>
        <v/>
      </c>
      <c r="L304">
        <f>IF(AND(W44!C17&lt;&gt;"",W44!C17&lt;&gt;"✗"),1,0)</f>
        <v/>
      </c>
      <c r="M304">
        <f>IF(AND(W44!C18&lt;&gt;"",W44!C18&lt;&gt;"✗"),1,0)</f>
        <v/>
      </c>
      <c r="O304">
        <f>IF(D304=1,O303+1,0)</f>
        <v/>
      </c>
      <c r="P304">
        <f>IF(E304=1,P303+1,0)</f>
        <v/>
      </c>
      <c r="Q304">
        <f>IF(F304=1,Q303+1,0)</f>
        <v/>
      </c>
      <c r="R304">
        <f>IF(G304=1,R303+1,0)</f>
        <v/>
      </c>
      <c r="S304">
        <f>IF(H304=1,S303+1,0)</f>
        <v/>
      </c>
      <c r="T304">
        <f>IF(I304=1,T303+1,0)</f>
        <v/>
      </c>
      <c r="U304">
        <f>IF(J304=1,U303+1,0)</f>
        <v/>
      </c>
      <c r="V304">
        <f>IF(K304=1,V303+1,0)</f>
        <v/>
      </c>
      <c r="W304">
        <f>IF(L304=1,W303+1,0)</f>
        <v/>
      </c>
      <c r="X304">
        <f>IF(M304=1,X303+1,0)</f>
        <v/>
      </c>
    </row>
    <row r="305">
      <c r="A305" s="58">
        <f>'Start Here'!$E$6+302</f>
        <v/>
      </c>
      <c r="B305" t="n">
        <v>44</v>
      </c>
      <c r="C305" t="inlineStr">
        <is>
          <t>TUE</t>
        </is>
      </c>
      <c r="D305">
        <f>IF(AND(W44!D9&lt;&gt;"",W44!D9&lt;&gt;"✗"),1,0)</f>
        <v/>
      </c>
      <c r="E305">
        <f>IF(AND(W44!D10&lt;&gt;"",W44!D10&lt;&gt;"✗"),1,0)</f>
        <v/>
      </c>
      <c r="F305">
        <f>IF(AND(W44!D11&lt;&gt;"",W44!D11&lt;&gt;"✗"),1,0)</f>
        <v/>
      </c>
      <c r="G305">
        <f>IF(AND(W44!D12&lt;&gt;"",W44!D12&lt;&gt;"✗"),1,0)</f>
        <v/>
      </c>
      <c r="H305">
        <f>IF(AND(W44!D13&lt;&gt;"",W44!D13&lt;&gt;"✗"),1,0)</f>
        <v/>
      </c>
      <c r="I305">
        <f>IF(AND(W44!D14&lt;&gt;"",W44!D14&lt;&gt;"✗"),1,0)</f>
        <v/>
      </c>
      <c r="J305">
        <f>IF(AND(W44!D15&lt;&gt;"",W44!D15&lt;&gt;"✗"),1,0)</f>
        <v/>
      </c>
      <c r="K305">
        <f>IF(AND(W44!D16&lt;&gt;"",W44!D16&lt;&gt;"✗"),1,0)</f>
        <v/>
      </c>
      <c r="L305">
        <f>IF(AND(W44!D17&lt;&gt;"",W44!D17&lt;&gt;"✗"),1,0)</f>
        <v/>
      </c>
      <c r="M305">
        <f>IF(AND(W44!D18&lt;&gt;"",W44!D18&lt;&gt;"✗"),1,0)</f>
        <v/>
      </c>
      <c r="O305">
        <f>IF(D305=1,O304+1,0)</f>
        <v/>
      </c>
      <c r="P305">
        <f>IF(E305=1,P304+1,0)</f>
        <v/>
      </c>
      <c r="Q305">
        <f>IF(F305=1,Q304+1,0)</f>
        <v/>
      </c>
      <c r="R305">
        <f>IF(G305=1,R304+1,0)</f>
        <v/>
      </c>
      <c r="S305">
        <f>IF(H305=1,S304+1,0)</f>
        <v/>
      </c>
      <c r="T305">
        <f>IF(I305=1,T304+1,0)</f>
        <v/>
      </c>
      <c r="U305">
        <f>IF(J305=1,U304+1,0)</f>
        <v/>
      </c>
      <c r="V305">
        <f>IF(K305=1,V304+1,0)</f>
        <v/>
      </c>
      <c r="W305">
        <f>IF(L305=1,W304+1,0)</f>
        <v/>
      </c>
      <c r="X305">
        <f>IF(M305=1,X304+1,0)</f>
        <v/>
      </c>
    </row>
    <row r="306">
      <c r="A306" s="58">
        <f>'Start Here'!$E$6+303</f>
        <v/>
      </c>
      <c r="B306" t="n">
        <v>44</v>
      </c>
      <c r="C306" t="inlineStr">
        <is>
          <t>WED</t>
        </is>
      </c>
      <c r="D306">
        <f>IF(AND(W44!E9&lt;&gt;"",W44!E9&lt;&gt;"✗"),1,0)</f>
        <v/>
      </c>
      <c r="E306">
        <f>IF(AND(W44!E10&lt;&gt;"",W44!E10&lt;&gt;"✗"),1,0)</f>
        <v/>
      </c>
      <c r="F306">
        <f>IF(AND(W44!E11&lt;&gt;"",W44!E11&lt;&gt;"✗"),1,0)</f>
        <v/>
      </c>
      <c r="G306">
        <f>IF(AND(W44!E12&lt;&gt;"",W44!E12&lt;&gt;"✗"),1,0)</f>
        <v/>
      </c>
      <c r="H306">
        <f>IF(AND(W44!E13&lt;&gt;"",W44!E13&lt;&gt;"✗"),1,0)</f>
        <v/>
      </c>
      <c r="I306">
        <f>IF(AND(W44!E14&lt;&gt;"",W44!E14&lt;&gt;"✗"),1,0)</f>
        <v/>
      </c>
      <c r="J306">
        <f>IF(AND(W44!E15&lt;&gt;"",W44!E15&lt;&gt;"✗"),1,0)</f>
        <v/>
      </c>
      <c r="K306">
        <f>IF(AND(W44!E16&lt;&gt;"",W44!E16&lt;&gt;"✗"),1,0)</f>
        <v/>
      </c>
      <c r="L306">
        <f>IF(AND(W44!E17&lt;&gt;"",W44!E17&lt;&gt;"✗"),1,0)</f>
        <v/>
      </c>
      <c r="M306">
        <f>IF(AND(W44!E18&lt;&gt;"",W44!E18&lt;&gt;"✗"),1,0)</f>
        <v/>
      </c>
      <c r="O306">
        <f>IF(D306=1,O305+1,0)</f>
        <v/>
      </c>
      <c r="P306">
        <f>IF(E306=1,P305+1,0)</f>
        <v/>
      </c>
      <c r="Q306">
        <f>IF(F306=1,Q305+1,0)</f>
        <v/>
      </c>
      <c r="R306">
        <f>IF(G306=1,R305+1,0)</f>
        <v/>
      </c>
      <c r="S306">
        <f>IF(H306=1,S305+1,0)</f>
        <v/>
      </c>
      <c r="T306">
        <f>IF(I306=1,T305+1,0)</f>
        <v/>
      </c>
      <c r="U306">
        <f>IF(J306=1,U305+1,0)</f>
        <v/>
      </c>
      <c r="V306">
        <f>IF(K306=1,V305+1,0)</f>
        <v/>
      </c>
      <c r="W306">
        <f>IF(L306=1,W305+1,0)</f>
        <v/>
      </c>
      <c r="X306">
        <f>IF(M306=1,X305+1,0)</f>
        <v/>
      </c>
    </row>
    <row r="307">
      <c r="A307" s="58">
        <f>'Start Here'!$E$6+304</f>
        <v/>
      </c>
      <c r="B307" t="n">
        <v>44</v>
      </c>
      <c r="C307" t="inlineStr">
        <is>
          <t>THU</t>
        </is>
      </c>
      <c r="D307">
        <f>IF(AND(W44!F9&lt;&gt;"",W44!F9&lt;&gt;"✗"),1,0)</f>
        <v/>
      </c>
      <c r="E307">
        <f>IF(AND(W44!F10&lt;&gt;"",W44!F10&lt;&gt;"✗"),1,0)</f>
        <v/>
      </c>
      <c r="F307">
        <f>IF(AND(W44!F11&lt;&gt;"",W44!F11&lt;&gt;"✗"),1,0)</f>
        <v/>
      </c>
      <c r="G307">
        <f>IF(AND(W44!F12&lt;&gt;"",W44!F12&lt;&gt;"✗"),1,0)</f>
        <v/>
      </c>
      <c r="H307">
        <f>IF(AND(W44!F13&lt;&gt;"",W44!F13&lt;&gt;"✗"),1,0)</f>
        <v/>
      </c>
      <c r="I307">
        <f>IF(AND(W44!F14&lt;&gt;"",W44!F14&lt;&gt;"✗"),1,0)</f>
        <v/>
      </c>
      <c r="J307">
        <f>IF(AND(W44!F15&lt;&gt;"",W44!F15&lt;&gt;"✗"),1,0)</f>
        <v/>
      </c>
      <c r="K307">
        <f>IF(AND(W44!F16&lt;&gt;"",W44!F16&lt;&gt;"✗"),1,0)</f>
        <v/>
      </c>
      <c r="L307">
        <f>IF(AND(W44!F17&lt;&gt;"",W44!F17&lt;&gt;"✗"),1,0)</f>
        <v/>
      </c>
      <c r="M307">
        <f>IF(AND(W44!F18&lt;&gt;"",W44!F18&lt;&gt;"✗"),1,0)</f>
        <v/>
      </c>
      <c r="O307">
        <f>IF(D307=1,O306+1,0)</f>
        <v/>
      </c>
      <c r="P307">
        <f>IF(E307=1,P306+1,0)</f>
        <v/>
      </c>
      <c r="Q307">
        <f>IF(F307=1,Q306+1,0)</f>
        <v/>
      </c>
      <c r="R307">
        <f>IF(G307=1,R306+1,0)</f>
        <v/>
      </c>
      <c r="S307">
        <f>IF(H307=1,S306+1,0)</f>
        <v/>
      </c>
      <c r="T307">
        <f>IF(I307=1,T306+1,0)</f>
        <v/>
      </c>
      <c r="U307">
        <f>IF(J307=1,U306+1,0)</f>
        <v/>
      </c>
      <c r="V307">
        <f>IF(K307=1,V306+1,0)</f>
        <v/>
      </c>
      <c r="W307">
        <f>IF(L307=1,W306+1,0)</f>
        <v/>
      </c>
      <c r="X307">
        <f>IF(M307=1,X306+1,0)</f>
        <v/>
      </c>
    </row>
    <row r="308">
      <c r="A308" s="58">
        <f>'Start Here'!$E$6+305</f>
        <v/>
      </c>
      <c r="B308" t="n">
        <v>44</v>
      </c>
      <c r="C308" t="inlineStr">
        <is>
          <t>FRI</t>
        </is>
      </c>
      <c r="D308">
        <f>IF(AND(W44!G9&lt;&gt;"",W44!G9&lt;&gt;"✗"),1,0)</f>
        <v/>
      </c>
      <c r="E308">
        <f>IF(AND(W44!G10&lt;&gt;"",W44!G10&lt;&gt;"✗"),1,0)</f>
        <v/>
      </c>
      <c r="F308">
        <f>IF(AND(W44!G11&lt;&gt;"",W44!G11&lt;&gt;"✗"),1,0)</f>
        <v/>
      </c>
      <c r="G308">
        <f>IF(AND(W44!G12&lt;&gt;"",W44!G12&lt;&gt;"✗"),1,0)</f>
        <v/>
      </c>
      <c r="H308">
        <f>IF(AND(W44!G13&lt;&gt;"",W44!G13&lt;&gt;"✗"),1,0)</f>
        <v/>
      </c>
      <c r="I308">
        <f>IF(AND(W44!G14&lt;&gt;"",W44!G14&lt;&gt;"✗"),1,0)</f>
        <v/>
      </c>
      <c r="J308">
        <f>IF(AND(W44!G15&lt;&gt;"",W44!G15&lt;&gt;"✗"),1,0)</f>
        <v/>
      </c>
      <c r="K308">
        <f>IF(AND(W44!G16&lt;&gt;"",W44!G16&lt;&gt;"✗"),1,0)</f>
        <v/>
      </c>
      <c r="L308">
        <f>IF(AND(W44!G17&lt;&gt;"",W44!G17&lt;&gt;"✗"),1,0)</f>
        <v/>
      </c>
      <c r="M308">
        <f>IF(AND(W44!G18&lt;&gt;"",W44!G18&lt;&gt;"✗"),1,0)</f>
        <v/>
      </c>
      <c r="O308">
        <f>IF(D308=1,O307+1,0)</f>
        <v/>
      </c>
      <c r="P308">
        <f>IF(E308=1,P307+1,0)</f>
        <v/>
      </c>
      <c r="Q308">
        <f>IF(F308=1,Q307+1,0)</f>
        <v/>
      </c>
      <c r="R308">
        <f>IF(G308=1,R307+1,0)</f>
        <v/>
      </c>
      <c r="S308">
        <f>IF(H308=1,S307+1,0)</f>
        <v/>
      </c>
      <c r="T308">
        <f>IF(I308=1,T307+1,0)</f>
        <v/>
      </c>
      <c r="U308">
        <f>IF(J308=1,U307+1,0)</f>
        <v/>
      </c>
      <c r="V308">
        <f>IF(K308=1,V307+1,0)</f>
        <v/>
      </c>
      <c r="W308">
        <f>IF(L308=1,W307+1,0)</f>
        <v/>
      </c>
      <c r="X308">
        <f>IF(M308=1,X307+1,0)</f>
        <v/>
      </c>
    </row>
    <row r="309">
      <c r="A309" s="58">
        <f>'Start Here'!$E$6+306</f>
        <v/>
      </c>
      <c r="B309" t="n">
        <v>44</v>
      </c>
      <c r="C309" t="inlineStr">
        <is>
          <t>SAT</t>
        </is>
      </c>
      <c r="D309">
        <f>IF(AND(W44!H9&lt;&gt;"",W44!H9&lt;&gt;"✗"),1,0)</f>
        <v/>
      </c>
      <c r="E309">
        <f>IF(AND(W44!H10&lt;&gt;"",W44!H10&lt;&gt;"✗"),1,0)</f>
        <v/>
      </c>
      <c r="F309">
        <f>IF(AND(W44!H11&lt;&gt;"",W44!H11&lt;&gt;"✗"),1,0)</f>
        <v/>
      </c>
      <c r="G309">
        <f>IF(AND(W44!H12&lt;&gt;"",W44!H12&lt;&gt;"✗"),1,0)</f>
        <v/>
      </c>
      <c r="H309">
        <f>IF(AND(W44!H13&lt;&gt;"",W44!H13&lt;&gt;"✗"),1,0)</f>
        <v/>
      </c>
      <c r="I309">
        <f>IF(AND(W44!H14&lt;&gt;"",W44!H14&lt;&gt;"✗"),1,0)</f>
        <v/>
      </c>
      <c r="J309">
        <f>IF(AND(W44!H15&lt;&gt;"",W44!H15&lt;&gt;"✗"),1,0)</f>
        <v/>
      </c>
      <c r="K309">
        <f>IF(AND(W44!H16&lt;&gt;"",W44!H16&lt;&gt;"✗"),1,0)</f>
        <v/>
      </c>
      <c r="L309">
        <f>IF(AND(W44!H17&lt;&gt;"",W44!H17&lt;&gt;"✗"),1,0)</f>
        <v/>
      </c>
      <c r="M309">
        <f>IF(AND(W44!H18&lt;&gt;"",W44!H18&lt;&gt;"✗"),1,0)</f>
        <v/>
      </c>
      <c r="O309">
        <f>IF(D309=1,O308+1,0)</f>
        <v/>
      </c>
      <c r="P309">
        <f>IF(E309=1,P308+1,0)</f>
        <v/>
      </c>
      <c r="Q309">
        <f>IF(F309=1,Q308+1,0)</f>
        <v/>
      </c>
      <c r="R309">
        <f>IF(G309=1,R308+1,0)</f>
        <v/>
      </c>
      <c r="S309">
        <f>IF(H309=1,S308+1,0)</f>
        <v/>
      </c>
      <c r="T309">
        <f>IF(I309=1,T308+1,0)</f>
        <v/>
      </c>
      <c r="U309">
        <f>IF(J309=1,U308+1,0)</f>
        <v/>
      </c>
      <c r="V309">
        <f>IF(K309=1,V308+1,0)</f>
        <v/>
      </c>
      <c r="W309">
        <f>IF(L309=1,W308+1,0)</f>
        <v/>
      </c>
      <c r="X309">
        <f>IF(M309=1,X308+1,0)</f>
        <v/>
      </c>
    </row>
    <row r="310">
      <c r="A310" s="58">
        <f>'Start Here'!$E$6+307</f>
        <v/>
      </c>
      <c r="B310" t="n">
        <v>44</v>
      </c>
      <c r="C310" t="inlineStr">
        <is>
          <t>SUN</t>
        </is>
      </c>
      <c r="D310">
        <f>IF(AND(W44!I9&lt;&gt;"",W44!I9&lt;&gt;"✗"),1,0)</f>
        <v/>
      </c>
      <c r="E310">
        <f>IF(AND(W44!I10&lt;&gt;"",W44!I10&lt;&gt;"✗"),1,0)</f>
        <v/>
      </c>
      <c r="F310">
        <f>IF(AND(W44!I11&lt;&gt;"",W44!I11&lt;&gt;"✗"),1,0)</f>
        <v/>
      </c>
      <c r="G310">
        <f>IF(AND(W44!I12&lt;&gt;"",W44!I12&lt;&gt;"✗"),1,0)</f>
        <v/>
      </c>
      <c r="H310">
        <f>IF(AND(W44!I13&lt;&gt;"",W44!I13&lt;&gt;"✗"),1,0)</f>
        <v/>
      </c>
      <c r="I310">
        <f>IF(AND(W44!I14&lt;&gt;"",W44!I14&lt;&gt;"✗"),1,0)</f>
        <v/>
      </c>
      <c r="J310">
        <f>IF(AND(W44!I15&lt;&gt;"",W44!I15&lt;&gt;"✗"),1,0)</f>
        <v/>
      </c>
      <c r="K310">
        <f>IF(AND(W44!I16&lt;&gt;"",W44!I16&lt;&gt;"✗"),1,0)</f>
        <v/>
      </c>
      <c r="L310">
        <f>IF(AND(W44!I17&lt;&gt;"",W44!I17&lt;&gt;"✗"),1,0)</f>
        <v/>
      </c>
      <c r="M310">
        <f>IF(AND(W44!I18&lt;&gt;"",W44!I18&lt;&gt;"✗"),1,0)</f>
        <v/>
      </c>
      <c r="O310">
        <f>IF(D310=1,O309+1,0)</f>
        <v/>
      </c>
      <c r="P310">
        <f>IF(E310=1,P309+1,0)</f>
        <v/>
      </c>
      <c r="Q310">
        <f>IF(F310=1,Q309+1,0)</f>
        <v/>
      </c>
      <c r="R310">
        <f>IF(G310=1,R309+1,0)</f>
        <v/>
      </c>
      <c r="S310">
        <f>IF(H310=1,S309+1,0)</f>
        <v/>
      </c>
      <c r="T310">
        <f>IF(I310=1,T309+1,0)</f>
        <v/>
      </c>
      <c r="U310">
        <f>IF(J310=1,U309+1,0)</f>
        <v/>
      </c>
      <c r="V310">
        <f>IF(K310=1,V309+1,0)</f>
        <v/>
      </c>
      <c r="W310">
        <f>IF(L310=1,W309+1,0)</f>
        <v/>
      </c>
      <c r="X310">
        <f>IF(M310=1,X309+1,0)</f>
        <v/>
      </c>
    </row>
    <row r="311">
      <c r="A311" s="58">
        <f>'Start Here'!$E$6+308</f>
        <v/>
      </c>
      <c r="B311" t="n">
        <v>45</v>
      </c>
      <c r="C311" t="inlineStr">
        <is>
          <t>MON</t>
        </is>
      </c>
      <c r="D311">
        <f>IF(AND(W45!C9&lt;&gt;"",W45!C9&lt;&gt;"✗"),1,0)</f>
        <v/>
      </c>
      <c r="E311">
        <f>IF(AND(W45!C10&lt;&gt;"",W45!C10&lt;&gt;"✗"),1,0)</f>
        <v/>
      </c>
      <c r="F311">
        <f>IF(AND(W45!C11&lt;&gt;"",W45!C11&lt;&gt;"✗"),1,0)</f>
        <v/>
      </c>
      <c r="G311">
        <f>IF(AND(W45!C12&lt;&gt;"",W45!C12&lt;&gt;"✗"),1,0)</f>
        <v/>
      </c>
      <c r="H311">
        <f>IF(AND(W45!C13&lt;&gt;"",W45!C13&lt;&gt;"✗"),1,0)</f>
        <v/>
      </c>
      <c r="I311">
        <f>IF(AND(W45!C14&lt;&gt;"",W45!C14&lt;&gt;"✗"),1,0)</f>
        <v/>
      </c>
      <c r="J311">
        <f>IF(AND(W45!C15&lt;&gt;"",W45!C15&lt;&gt;"✗"),1,0)</f>
        <v/>
      </c>
      <c r="K311">
        <f>IF(AND(W45!C16&lt;&gt;"",W45!C16&lt;&gt;"✗"),1,0)</f>
        <v/>
      </c>
      <c r="L311">
        <f>IF(AND(W45!C17&lt;&gt;"",W45!C17&lt;&gt;"✗"),1,0)</f>
        <v/>
      </c>
      <c r="M311">
        <f>IF(AND(W45!C18&lt;&gt;"",W45!C18&lt;&gt;"✗"),1,0)</f>
        <v/>
      </c>
      <c r="O311">
        <f>IF(D311=1,O310+1,0)</f>
        <v/>
      </c>
      <c r="P311">
        <f>IF(E311=1,P310+1,0)</f>
        <v/>
      </c>
      <c r="Q311">
        <f>IF(F311=1,Q310+1,0)</f>
        <v/>
      </c>
      <c r="R311">
        <f>IF(G311=1,R310+1,0)</f>
        <v/>
      </c>
      <c r="S311">
        <f>IF(H311=1,S310+1,0)</f>
        <v/>
      </c>
      <c r="T311">
        <f>IF(I311=1,T310+1,0)</f>
        <v/>
      </c>
      <c r="U311">
        <f>IF(J311=1,U310+1,0)</f>
        <v/>
      </c>
      <c r="V311">
        <f>IF(K311=1,V310+1,0)</f>
        <v/>
      </c>
      <c r="W311">
        <f>IF(L311=1,W310+1,0)</f>
        <v/>
      </c>
      <c r="X311">
        <f>IF(M311=1,X310+1,0)</f>
        <v/>
      </c>
    </row>
    <row r="312">
      <c r="A312" s="58">
        <f>'Start Here'!$E$6+309</f>
        <v/>
      </c>
      <c r="B312" t="n">
        <v>45</v>
      </c>
      <c r="C312" t="inlineStr">
        <is>
          <t>TUE</t>
        </is>
      </c>
      <c r="D312">
        <f>IF(AND(W45!D9&lt;&gt;"",W45!D9&lt;&gt;"✗"),1,0)</f>
        <v/>
      </c>
      <c r="E312">
        <f>IF(AND(W45!D10&lt;&gt;"",W45!D10&lt;&gt;"✗"),1,0)</f>
        <v/>
      </c>
      <c r="F312">
        <f>IF(AND(W45!D11&lt;&gt;"",W45!D11&lt;&gt;"✗"),1,0)</f>
        <v/>
      </c>
      <c r="G312">
        <f>IF(AND(W45!D12&lt;&gt;"",W45!D12&lt;&gt;"✗"),1,0)</f>
        <v/>
      </c>
      <c r="H312">
        <f>IF(AND(W45!D13&lt;&gt;"",W45!D13&lt;&gt;"✗"),1,0)</f>
        <v/>
      </c>
      <c r="I312">
        <f>IF(AND(W45!D14&lt;&gt;"",W45!D14&lt;&gt;"✗"),1,0)</f>
        <v/>
      </c>
      <c r="J312">
        <f>IF(AND(W45!D15&lt;&gt;"",W45!D15&lt;&gt;"✗"),1,0)</f>
        <v/>
      </c>
      <c r="K312">
        <f>IF(AND(W45!D16&lt;&gt;"",W45!D16&lt;&gt;"✗"),1,0)</f>
        <v/>
      </c>
      <c r="L312">
        <f>IF(AND(W45!D17&lt;&gt;"",W45!D17&lt;&gt;"✗"),1,0)</f>
        <v/>
      </c>
      <c r="M312">
        <f>IF(AND(W45!D18&lt;&gt;"",W45!D18&lt;&gt;"✗"),1,0)</f>
        <v/>
      </c>
      <c r="O312">
        <f>IF(D312=1,O311+1,0)</f>
        <v/>
      </c>
      <c r="P312">
        <f>IF(E312=1,P311+1,0)</f>
        <v/>
      </c>
      <c r="Q312">
        <f>IF(F312=1,Q311+1,0)</f>
        <v/>
      </c>
      <c r="R312">
        <f>IF(G312=1,R311+1,0)</f>
        <v/>
      </c>
      <c r="S312">
        <f>IF(H312=1,S311+1,0)</f>
        <v/>
      </c>
      <c r="T312">
        <f>IF(I312=1,T311+1,0)</f>
        <v/>
      </c>
      <c r="U312">
        <f>IF(J312=1,U311+1,0)</f>
        <v/>
      </c>
      <c r="V312">
        <f>IF(K312=1,V311+1,0)</f>
        <v/>
      </c>
      <c r="W312">
        <f>IF(L312=1,W311+1,0)</f>
        <v/>
      </c>
      <c r="X312">
        <f>IF(M312=1,X311+1,0)</f>
        <v/>
      </c>
    </row>
    <row r="313">
      <c r="A313" s="58">
        <f>'Start Here'!$E$6+310</f>
        <v/>
      </c>
      <c r="B313" t="n">
        <v>45</v>
      </c>
      <c r="C313" t="inlineStr">
        <is>
          <t>WED</t>
        </is>
      </c>
      <c r="D313">
        <f>IF(AND(W45!E9&lt;&gt;"",W45!E9&lt;&gt;"✗"),1,0)</f>
        <v/>
      </c>
      <c r="E313">
        <f>IF(AND(W45!E10&lt;&gt;"",W45!E10&lt;&gt;"✗"),1,0)</f>
        <v/>
      </c>
      <c r="F313">
        <f>IF(AND(W45!E11&lt;&gt;"",W45!E11&lt;&gt;"✗"),1,0)</f>
        <v/>
      </c>
      <c r="G313">
        <f>IF(AND(W45!E12&lt;&gt;"",W45!E12&lt;&gt;"✗"),1,0)</f>
        <v/>
      </c>
      <c r="H313">
        <f>IF(AND(W45!E13&lt;&gt;"",W45!E13&lt;&gt;"✗"),1,0)</f>
        <v/>
      </c>
      <c r="I313">
        <f>IF(AND(W45!E14&lt;&gt;"",W45!E14&lt;&gt;"✗"),1,0)</f>
        <v/>
      </c>
      <c r="J313">
        <f>IF(AND(W45!E15&lt;&gt;"",W45!E15&lt;&gt;"✗"),1,0)</f>
        <v/>
      </c>
      <c r="K313">
        <f>IF(AND(W45!E16&lt;&gt;"",W45!E16&lt;&gt;"✗"),1,0)</f>
        <v/>
      </c>
      <c r="L313">
        <f>IF(AND(W45!E17&lt;&gt;"",W45!E17&lt;&gt;"✗"),1,0)</f>
        <v/>
      </c>
      <c r="M313">
        <f>IF(AND(W45!E18&lt;&gt;"",W45!E18&lt;&gt;"✗"),1,0)</f>
        <v/>
      </c>
      <c r="O313">
        <f>IF(D313=1,O312+1,0)</f>
        <v/>
      </c>
      <c r="P313">
        <f>IF(E313=1,P312+1,0)</f>
        <v/>
      </c>
      <c r="Q313">
        <f>IF(F313=1,Q312+1,0)</f>
        <v/>
      </c>
      <c r="R313">
        <f>IF(G313=1,R312+1,0)</f>
        <v/>
      </c>
      <c r="S313">
        <f>IF(H313=1,S312+1,0)</f>
        <v/>
      </c>
      <c r="T313">
        <f>IF(I313=1,T312+1,0)</f>
        <v/>
      </c>
      <c r="U313">
        <f>IF(J313=1,U312+1,0)</f>
        <v/>
      </c>
      <c r="V313">
        <f>IF(K313=1,V312+1,0)</f>
        <v/>
      </c>
      <c r="W313">
        <f>IF(L313=1,W312+1,0)</f>
        <v/>
      </c>
      <c r="X313">
        <f>IF(M313=1,X312+1,0)</f>
        <v/>
      </c>
    </row>
    <row r="314">
      <c r="A314" s="58">
        <f>'Start Here'!$E$6+311</f>
        <v/>
      </c>
      <c r="B314" t="n">
        <v>45</v>
      </c>
      <c r="C314" t="inlineStr">
        <is>
          <t>THU</t>
        </is>
      </c>
      <c r="D314">
        <f>IF(AND(W45!F9&lt;&gt;"",W45!F9&lt;&gt;"✗"),1,0)</f>
        <v/>
      </c>
      <c r="E314">
        <f>IF(AND(W45!F10&lt;&gt;"",W45!F10&lt;&gt;"✗"),1,0)</f>
        <v/>
      </c>
      <c r="F314">
        <f>IF(AND(W45!F11&lt;&gt;"",W45!F11&lt;&gt;"✗"),1,0)</f>
        <v/>
      </c>
      <c r="G314">
        <f>IF(AND(W45!F12&lt;&gt;"",W45!F12&lt;&gt;"✗"),1,0)</f>
        <v/>
      </c>
      <c r="H314">
        <f>IF(AND(W45!F13&lt;&gt;"",W45!F13&lt;&gt;"✗"),1,0)</f>
        <v/>
      </c>
      <c r="I314">
        <f>IF(AND(W45!F14&lt;&gt;"",W45!F14&lt;&gt;"✗"),1,0)</f>
        <v/>
      </c>
      <c r="J314">
        <f>IF(AND(W45!F15&lt;&gt;"",W45!F15&lt;&gt;"✗"),1,0)</f>
        <v/>
      </c>
      <c r="K314">
        <f>IF(AND(W45!F16&lt;&gt;"",W45!F16&lt;&gt;"✗"),1,0)</f>
        <v/>
      </c>
      <c r="L314">
        <f>IF(AND(W45!F17&lt;&gt;"",W45!F17&lt;&gt;"✗"),1,0)</f>
        <v/>
      </c>
      <c r="M314">
        <f>IF(AND(W45!F18&lt;&gt;"",W45!F18&lt;&gt;"✗"),1,0)</f>
        <v/>
      </c>
      <c r="O314">
        <f>IF(D314=1,O313+1,0)</f>
        <v/>
      </c>
      <c r="P314">
        <f>IF(E314=1,P313+1,0)</f>
        <v/>
      </c>
      <c r="Q314">
        <f>IF(F314=1,Q313+1,0)</f>
        <v/>
      </c>
      <c r="R314">
        <f>IF(G314=1,R313+1,0)</f>
        <v/>
      </c>
      <c r="S314">
        <f>IF(H314=1,S313+1,0)</f>
        <v/>
      </c>
      <c r="T314">
        <f>IF(I314=1,T313+1,0)</f>
        <v/>
      </c>
      <c r="U314">
        <f>IF(J314=1,U313+1,0)</f>
        <v/>
      </c>
      <c r="V314">
        <f>IF(K314=1,V313+1,0)</f>
        <v/>
      </c>
      <c r="W314">
        <f>IF(L314=1,W313+1,0)</f>
        <v/>
      </c>
      <c r="X314">
        <f>IF(M314=1,X313+1,0)</f>
        <v/>
      </c>
    </row>
    <row r="315">
      <c r="A315" s="58">
        <f>'Start Here'!$E$6+312</f>
        <v/>
      </c>
      <c r="B315" t="n">
        <v>45</v>
      </c>
      <c r="C315" t="inlineStr">
        <is>
          <t>FRI</t>
        </is>
      </c>
      <c r="D315">
        <f>IF(AND(W45!G9&lt;&gt;"",W45!G9&lt;&gt;"✗"),1,0)</f>
        <v/>
      </c>
      <c r="E315">
        <f>IF(AND(W45!G10&lt;&gt;"",W45!G10&lt;&gt;"✗"),1,0)</f>
        <v/>
      </c>
      <c r="F315">
        <f>IF(AND(W45!G11&lt;&gt;"",W45!G11&lt;&gt;"✗"),1,0)</f>
        <v/>
      </c>
      <c r="G315">
        <f>IF(AND(W45!G12&lt;&gt;"",W45!G12&lt;&gt;"✗"),1,0)</f>
        <v/>
      </c>
      <c r="H315">
        <f>IF(AND(W45!G13&lt;&gt;"",W45!G13&lt;&gt;"✗"),1,0)</f>
        <v/>
      </c>
      <c r="I315">
        <f>IF(AND(W45!G14&lt;&gt;"",W45!G14&lt;&gt;"✗"),1,0)</f>
        <v/>
      </c>
      <c r="J315">
        <f>IF(AND(W45!G15&lt;&gt;"",W45!G15&lt;&gt;"✗"),1,0)</f>
        <v/>
      </c>
      <c r="K315">
        <f>IF(AND(W45!G16&lt;&gt;"",W45!G16&lt;&gt;"✗"),1,0)</f>
        <v/>
      </c>
      <c r="L315">
        <f>IF(AND(W45!G17&lt;&gt;"",W45!G17&lt;&gt;"✗"),1,0)</f>
        <v/>
      </c>
      <c r="M315">
        <f>IF(AND(W45!G18&lt;&gt;"",W45!G18&lt;&gt;"✗"),1,0)</f>
        <v/>
      </c>
      <c r="O315">
        <f>IF(D315=1,O314+1,0)</f>
        <v/>
      </c>
      <c r="P315">
        <f>IF(E315=1,P314+1,0)</f>
        <v/>
      </c>
      <c r="Q315">
        <f>IF(F315=1,Q314+1,0)</f>
        <v/>
      </c>
      <c r="R315">
        <f>IF(G315=1,R314+1,0)</f>
        <v/>
      </c>
      <c r="S315">
        <f>IF(H315=1,S314+1,0)</f>
        <v/>
      </c>
      <c r="T315">
        <f>IF(I315=1,T314+1,0)</f>
        <v/>
      </c>
      <c r="U315">
        <f>IF(J315=1,U314+1,0)</f>
        <v/>
      </c>
      <c r="V315">
        <f>IF(K315=1,V314+1,0)</f>
        <v/>
      </c>
      <c r="W315">
        <f>IF(L315=1,W314+1,0)</f>
        <v/>
      </c>
      <c r="X315">
        <f>IF(M315=1,X314+1,0)</f>
        <v/>
      </c>
    </row>
    <row r="316">
      <c r="A316" s="58">
        <f>'Start Here'!$E$6+313</f>
        <v/>
      </c>
      <c r="B316" t="n">
        <v>45</v>
      </c>
      <c r="C316" t="inlineStr">
        <is>
          <t>SAT</t>
        </is>
      </c>
      <c r="D316">
        <f>IF(AND(W45!H9&lt;&gt;"",W45!H9&lt;&gt;"✗"),1,0)</f>
        <v/>
      </c>
      <c r="E316">
        <f>IF(AND(W45!H10&lt;&gt;"",W45!H10&lt;&gt;"✗"),1,0)</f>
        <v/>
      </c>
      <c r="F316">
        <f>IF(AND(W45!H11&lt;&gt;"",W45!H11&lt;&gt;"✗"),1,0)</f>
        <v/>
      </c>
      <c r="G316">
        <f>IF(AND(W45!H12&lt;&gt;"",W45!H12&lt;&gt;"✗"),1,0)</f>
        <v/>
      </c>
      <c r="H316">
        <f>IF(AND(W45!H13&lt;&gt;"",W45!H13&lt;&gt;"✗"),1,0)</f>
        <v/>
      </c>
      <c r="I316">
        <f>IF(AND(W45!H14&lt;&gt;"",W45!H14&lt;&gt;"✗"),1,0)</f>
        <v/>
      </c>
      <c r="J316">
        <f>IF(AND(W45!H15&lt;&gt;"",W45!H15&lt;&gt;"✗"),1,0)</f>
        <v/>
      </c>
      <c r="K316">
        <f>IF(AND(W45!H16&lt;&gt;"",W45!H16&lt;&gt;"✗"),1,0)</f>
        <v/>
      </c>
      <c r="L316">
        <f>IF(AND(W45!H17&lt;&gt;"",W45!H17&lt;&gt;"✗"),1,0)</f>
        <v/>
      </c>
      <c r="M316">
        <f>IF(AND(W45!H18&lt;&gt;"",W45!H18&lt;&gt;"✗"),1,0)</f>
        <v/>
      </c>
      <c r="O316">
        <f>IF(D316=1,O315+1,0)</f>
        <v/>
      </c>
      <c r="P316">
        <f>IF(E316=1,P315+1,0)</f>
        <v/>
      </c>
      <c r="Q316">
        <f>IF(F316=1,Q315+1,0)</f>
        <v/>
      </c>
      <c r="R316">
        <f>IF(G316=1,R315+1,0)</f>
        <v/>
      </c>
      <c r="S316">
        <f>IF(H316=1,S315+1,0)</f>
        <v/>
      </c>
      <c r="T316">
        <f>IF(I316=1,T315+1,0)</f>
        <v/>
      </c>
      <c r="U316">
        <f>IF(J316=1,U315+1,0)</f>
        <v/>
      </c>
      <c r="V316">
        <f>IF(K316=1,V315+1,0)</f>
        <v/>
      </c>
      <c r="W316">
        <f>IF(L316=1,W315+1,0)</f>
        <v/>
      </c>
      <c r="X316">
        <f>IF(M316=1,X315+1,0)</f>
        <v/>
      </c>
    </row>
    <row r="317">
      <c r="A317" s="58">
        <f>'Start Here'!$E$6+314</f>
        <v/>
      </c>
      <c r="B317" t="n">
        <v>45</v>
      </c>
      <c r="C317" t="inlineStr">
        <is>
          <t>SUN</t>
        </is>
      </c>
      <c r="D317">
        <f>IF(AND(W45!I9&lt;&gt;"",W45!I9&lt;&gt;"✗"),1,0)</f>
        <v/>
      </c>
      <c r="E317">
        <f>IF(AND(W45!I10&lt;&gt;"",W45!I10&lt;&gt;"✗"),1,0)</f>
        <v/>
      </c>
      <c r="F317">
        <f>IF(AND(W45!I11&lt;&gt;"",W45!I11&lt;&gt;"✗"),1,0)</f>
        <v/>
      </c>
      <c r="G317">
        <f>IF(AND(W45!I12&lt;&gt;"",W45!I12&lt;&gt;"✗"),1,0)</f>
        <v/>
      </c>
      <c r="H317">
        <f>IF(AND(W45!I13&lt;&gt;"",W45!I13&lt;&gt;"✗"),1,0)</f>
        <v/>
      </c>
      <c r="I317">
        <f>IF(AND(W45!I14&lt;&gt;"",W45!I14&lt;&gt;"✗"),1,0)</f>
        <v/>
      </c>
      <c r="J317">
        <f>IF(AND(W45!I15&lt;&gt;"",W45!I15&lt;&gt;"✗"),1,0)</f>
        <v/>
      </c>
      <c r="K317">
        <f>IF(AND(W45!I16&lt;&gt;"",W45!I16&lt;&gt;"✗"),1,0)</f>
        <v/>
      </c>
      <c r="L317">
        <f>IF(AND(W45!I17&lt;&gt;"",W45!I17&lt;&gt;"✗"),1,0)</f>
        <v/>
      </c>
      <c r="M317">
        <f>IF(AND(W45!I18&lt;&gt;"",W45!I18&lt;&gt;"✗"),1,0)</f>
        <v/>
      </c>
      <c r="O317">
        <f>IF(D317=1,O316+1,0)</f>
        <v/>
      </c>
      <c r="P317">
        <f>IF(E317=1,P316+1,0)</f>
        <v/>
      </c>
      <c r="Q317">
        <f>IF(F317=1,Q316+1,0)</f>
        <v/>
      </c>
      <c r="R317">
        <f>IF(G317=1,R316+1,0)</f>
        <v/>
      </c>
      <c r="S317">
        <f>IF(H317=1,S316+1,0)</f>
        <v/>
      </c>
      <c r="T317">
        <f>IF(I317=1,T316+1,0)</f>
        <v/>
      </c>
      <c r="U317">
        <f>IF(J317=1,U316+1,0)</f>
        <v/>
      </c>
      <c r="V317">
        <f>IF(K317=1,V316+1,0)</f>
        <v/>
      </c>
      <c r="W317">
        <f>IF(L317=1,W316+1,0)</f>
        <v/>
      </c>
      <c r="X317">
        <f>IF(M317=1,X316+1,0)</f>
        <v/>
      </c>
    </row>
    <row r="318">
      <c r="A318" s="58">
        <f>'Start Here'!$E$6+315</f>
        <v/>
      </c>
      <c r="B318" t="n">
        <v>46</v>
      </c>
      <c r="C318" t="inlineStr">
        <is>
          <t>MON</t>
        </is>
      </c>
      <c r="D318">
        <f>IF(AND(W46!C9&lt;&gt;"",W46!C9&lt;&gt;"✗"),1,0)</f>
        <v/>
      </c>
      <c r="E318">
        <f>IF(AND(W46!C10&lt;&gt;"",W46!C10&lt;&gt;"✗"),1,0)</f>
        <v/>
      </c>
      <c r="F318">
        <f>IF(AND(W46!C11&lt;&gt;"",W46!C11&lt;&gt;"✗"),1,0)</f>
        <v/>
      </c>
      <c r="G318">
        <f>IF(AND(W46!C12&lt;&gt;"",W46!C12&lt;&gt;"✗"),1,0)</f>
        <v/>
      </c>
      <c r="H318">
        <f>IF(AND(W46!C13&lt;&gt;"",W46!C13&lt;&gt;"✗"),1,0)</f>
        <v/>
      </c>
      <c r="I318">
        <f>IF(AND(W46!C14&lt;&gt;"",W46!C14&lt;&gt;"✗"),1,0)</f>
        <v/>
      </c>
      <c r="J318">
        <f>IF(AND(W46!C15&lt;&gt;"",W46!C15&lt;&gt;"✗"),1,0)</f>
        <v/>
      </c>
      <c r="K318">
        <f>IF(AND(W46!C16&lt;&gt;"",W46!C16&lt;&gt;"✗"),1,0)</f>
        <v/>
      </c>
      <c r="L318">
        <f>IF(AND(W46!C17&lt;&gt;"",W46!C17&lt;&gt;"✗"),1,0)</f>
        <v/>
      </c>
      <c r="M318">
        <f>IF(AND(W46!C18&lt;&gt;"",W46!C18&lt;&gt;"✗"),1,0)</f>
        <v/>
      </c>
      <c r="O318">
        <f>IF(D318=1,O317+1,0)</f>
        <v/>
      </c>
      <c r="P318">
        <f>IF(E318=1,P317+1,0)</f>
        <v/>
      </c>
      <c r="Q318">
        <f>IF(F318=1,Q317+1,0)</f>
        <v/>
      </c>
      <c r="R318">
        <f>IF(G318=1,R317+1,0)</f>
        <v/>
      </c>
      <c r="S318">
        <f>IF(H318=1,S317+1,0)</f>
        <v/>
      </c>
      <c r="T318">
        <f>IF(I318=1,T317+1,0)</f>
        <v/>
      </c>
      <c r="U318">
        <f>IF(J318=1,U317+1,0)</f>
        <v/>
      </c>
      <c r="V318">
        <f>IF(K318=1,V317+1,0)</f>
        <v/>
      </c>
      <c r="W318">
        <f>IF(L318=1,W317+1,0)</f>
        <v/>
      </c>
      <c r="X318">
        <f>IF(M318=1,X317+1,0)</f>
        <v/>
      </c>
    </row>
    <row r="319">
      <c r="A319" s="58">
        <f>'Start Here'!$E$6+316</f>
        <v/>
      </c>
      <c r="B319" t="n">
        <v>46</v>
      </c>
      <c r="C319" t="inlineStr">
        <is>
          <t>TUE</t>
        </is>
      </c>
      <c r="D319">
        <f>IF(AND(W46!D9&lt;&gt;"",W46!D9&lt;&gt;"✗"),1,0)</f>
        <v/>
      </c>
      <c r="E319">
        <f>IF(AND(W46!D10&lt;&gt;"",W46!D10&lt;&gt;"✗"),1,0)</f>
        <v/>
      </c>
      <c r="F319">
        <f>IF(AND(W46!D11&lt;&gt;"",W46!D11&lt;&gt;"✗"),1,0)</f>
        <v/>
      </c>
      <c r="G319">
        <f>IF(AND(W46!D12&lt;&gt;"",W46!D12&lt;&gt;"✗"),1,0)</f>
        <v/>
      </c>
      <c r="H319">
        <f>IF(AND(W46!D13&lt;&gt;"",W46!D13&lt;&gt;"✗"),1,0)</f>
        <v/>
      </c>
      <c r="I319">
        <f>IF(AND(W46!D14&lt;&gt;"",W46!D14&lt;&gt;"✗"),1,0)</f>
        <v/>
      </c>
      <c r="J319">
        <f>IF(AND(W46!D15&lt;&gt;"",W46!D15&lt;&gt;"✗"),1,0)</f>
        <v/>
      </c>
      <c r="K319">
        <f>IF(AND(W46!D16&lt;&gt;"",W46!D16&lt;&gt;"✗"),1,0)</f>
        <v/>
      </c>
      <c r="L319">
        <f>IF(AND(W46!D17&lt;&gt;"",W46!D17&lt;&gt;"✗"),1,0)</f>
        <v/>
      </c>
      <c r="M319">
        <f>IF(AND(W46!D18&lt;&gt;"",W46!D18&lt;&gt;"✗"),1,0)</f>
        <v/>
      </c>
      <c r="O319">
        <f>IF(D319=1,O318+1,0)</f>
        <v/>
      </c>
      <c r="P319">
        <f>IF(E319=1,P318+1,0)</f>
        <v/>
      </c>
      <c r="Q319">
        <f>IF(F319=1,Q318+1,0)</f>
        <v/>
      </c>
      <c r="R319">
        <f>IF(G319=1,R318+1,0)</f>
        <v/>
      </c>
      <c r="S319">
        <f>IF(H319=1,S318+1,0)</f>
        <v/>
      </c>
      <c r="T319">
        <f>IF(I319=1,T318+1,0)</f>
        <v/>
      </c>
      <c r="U319">
        <f>IF(J319=1,U318+1,0)</f>
        <v/>
      </c>
      <c r="V319">
        <f>IF(K319=1,V318+1,0)</f>
        <v/>
      </c>
      <c r="W319">
        <f>IF(L319=1,W318+1,0)</f>
        <v/>
      </c>
      <c r="X319">
        <f>IF(M319=1,X318+1,0)</f>
        <v/>
      </c>
    </row>
    <row r="320">
      <c r="A320" s="58">
        <f>'Start Here'!$E$6+317</f>
        <v/>
      </c>
      <c r="B320" t="n">
        <v>46</v>
      </c>
      <c r="C320" t="inlineStr">
        <is>
          <t>WED</t>
        </is>
      </c>
      <c r="D320">
        <f>IF(AND(W46!E9&lt;&gt;"",W46!E9&lt;&gt;"✗"),1,0)</f>
        <v/>
      </c>
      <c r="E320">
        <f>IF(AND(W46!E10&lt;&gt;"",W46!E10&lt;&gt;"✗"),1,0)</f>
        <v/>
      </c>
      <c r="F320">
        <f>IF(AND(W46!E11&lt;&gt;"",W46!E11&lt;&gt;"✗"),1,0)</f>
        <v/>
      </c>
      <c r="G320">
        <f>IF(AND(W46!E12&lt;&gt;"",W46!E12&lt;&gt;"✗"),1,0)</f>
        <v/>
      </c>
      <c r="H320">
        <f>IF(AND(W46!E13&lt;&gt;"",W46!E13&lt;&gt;"✗"),1,0)</f>
        <v/>
      </c>
      <c r="I320">
        <f>IF(AND(W46!E14&lt;&gt;"",W46!E14&lt;&gt;"✗"),1,0)</f>
        <v/>
      </c>
      <c r="J320">
        <f>IF(AND(W46!E15&lt;&gt;"",W46!E15&lt;&gt;"✗"),1,0)</f>
        <v/>
      </c>
      <c r="K320">
        <f>IF(AND(W46!E16&lt;&gt;"",W46!E16&lt;&gt;"✗"),1,0)</f>
        <v/>
      </c>
      <c r="L320">
        <f>IF(AND(W46!E17&lt;&gt;"",W46!E17&lt;&gt;"✗"),1,0)</f>
        <v/>
      </c>
      <c r="M320">
        <f>IF(AND(W46!E18&lt;&gt;"",W46!E18&lt;&gt;"✗"),1,0)</f>
        <v/>
      </c>
      <c r="O320">
        <f>IF(D320=1,O319+1,0)</f>
        <v/>
      </c>
      <c r="P320">
        <f>IF(E320=1,P319+1,0)</f>
        <v/>
      </c>
      <c r="Q320">
        <f>IF(F320=1,Q319+1,0)</f>
        <v/>
      </c>
      <c r="R320">
        <f>IF(G320=1,R319+1,0)</f>
        <v/>
      </c>
      <c r="S320">
        <f>IF(H320=1,S319+1,0)</f>
        <v/>
      </c>
      <c r="T320">
        <f>IF(I320=1,T319+1,0)</f>
        <v/>
      </c>
      <c r="U320">
        <f>IF(J320=1,U319+1,0)</f>
        <v/>
      </c>
      <c r="V320">
        <f>IF(K320=1,V319+1,0)</f>
        <v/>
      </c>
      <c r="W320">
        <f>IF(L320=1,W319+1,0)</f>
        <v/>
      </c>
      <c r="X320">
        <f>IF(M320=1,X319+1,0)</f>
        <v/>
      </c>
    </row>
    <row r="321">
      <c r="A321" s="58">
        <f>'Start Here'!$E$6+318</f>
        <v/>
      </c>
      <c r="B321" t="n">
        <v>46</v>
      </c>
      <c r="C321" t="inlineStr">
        <is>
          <t>THU</t>
        </is>
      </c>
      <c r="D321">
        <f>IF(AND(W46!F9&lt;&gt;"",W46!F9&lt;&gt;"✗"),1,0)</f>
        <v/>
      </c>
      <c r="E321">
        <f>IF(AND(W46!F10&lt;&gt;"",W46!F10&lt;&gt;"✗"),1,0)</f>
        <v/>
      </c>
      <c r="F321">
        <f>IF(AND(W46!F11&lt;&gt;"",W46!F11&lt;&gt;"✗"),1,0)</f>
        <v/>
      </c>
      <c r="G321">
        <f>IF(AND(W46!F12&lt;&gt;"",W46!F12&lt;&gt;"✗"),1,0)</f>
        <v/>
      </c>
      <c r="H321">
        <f>IF(AND(W46!F13&lt;&gt;"",W46!F13&lt;&gt;"✗"),1,0)</f>
        <v/>
      </c>
      <c r="I321">
        <f>IF(AND(W46!F14&lt;&gt;"",W46!F14&lt;&gt;"✗"),1,0)</f>
        <v/>
      </c>
      <c r="J321">
        <f>IF(AND(W46!F15&lt;&gt;"",W46!F15&lt;&gt;"✗"),1,0)</f>
        <v/>
      </c>
      <c r="K321">
        <f>IF(AND(W46!F16&lt;&gt;"",W46!F16&lt;&gt;"✗"),1,0)</f>
        <v/>
      </c>
      <c r="L321">
        <f>IF(AND(W46!F17&lt;&gt;"",W46!F17&lt;&gt;"✗"),1,0)</f>
        <v/>
      </c>
      <c r="M321">
        <f>IF(AND(W46!F18&lt;&gt;"",W46!F18&lt;&gt;"✗"),1,0)</f>
        <v/>
      </c>
      <c r="O321">
        <f>IF(D321=1,O320+1,0)</f>
        <v/>
      </c>
      <c r="P321">
        <f>IF(E321=1,P320+1,0)</f>
        <v/>
      </c>
      <c r="Q321">
        <f>IF(F321=1,Q320+1,0)</f>
        <v/>
      </c>
      <c r="R321">
        <f>IF(G321=1,R320+1,0)</f>
        <v/>
      </c>
      <c r="S321">
        <f>IF(H321=1,S320+1,0)</f>
        <v/>
      </c>
      <c r="T321">
        <f>IF(I321=1,T320+1,0)</f>
        <v/>
      </c>
      <c r="U321">
        <f>IF(J321=1,U320+1,0)</f>
        <v/>
      </c>
      <c r="V321">
        <f>IF(K321=1,V320+1,0)</f>
        <v/>
      </c>
      <c r="W321">
        <f>IF(L321=1,W320+1,0)</f>
        <v/>
      </c>
      <c r="X321">
        <f>IF(M321=1,X320+1,0)</f>
        <v/>
      </c>
    </row>
    <row r="322">
      <c r="A322" s="58">
        <f>'Start Here'!$E$6+319</f>
        <v/>
      </c>
      <c r="B322" t="n">
        <v>46</v>
      </c>
      <c r="C322" t="inlineStr">
        <is>
          <t>FRI</t>
        </is>
      </c>
      <c r="D322">
        <f>IF(AND(W46!G9&lt;&gt;"",W46!G9&lt;&gt;"✗"),1,0)</f>
        <v/>
      </c>
      <c r="E322">
        <f>IF(AND(W46!G10&lt;&gt;"",W46!G10&lt;&gt;"✗"),1,0)</f>
        <v/>
      </c>
      <c r="F322">
        <f>IF(AND(W46!G11&lt;&gt;"",W46!G11&lt;&gt;"✗"),1,0)</f>
        <v/>
      </c>
      <c r="G322">
        <f>IF(AND(W46!G12&lt;&gt;"",W46!G12&lt;&gt;"✗"),1,0)</f>
        <v/>
      </c>
      <c r="H322">
        <f>IF(AND(W46!G13&lt;&gt;"",W46!G13&lt;&gt;"✗"),1,0)</f>
        <v/>
      </c>
      <c r="I322">
        <f>IF(AND(W46!G14&lt;&gt;"",W46!G14&lt;&gt;"✗"),1,0)</f>
        <v/>
      </c>
      <c r="J322">
        <f>IF(AND(W46!G15&lt;&gt;"",W46!G15&lt;&gt;"✗"),1,0)</f>
        <v/>
      </c>
      <c r="K322">
        <f>IF(AND(W46!G16&lt;&gt;"",W46!G16&lt;&gt;"✗"),1,0)</f>
        <v/>
      </c>
      <c r="L322">
        <f>IF(AND(W46!G17&lt;&gt;"",W46!G17&lt;&gt;"✗"),1,0)</f>
        <v/>
      </c>
      <c r="M322">
        <f>IF(AND(W46!G18&lt;&gt;"",W46!G18&lt;&gt;"✗"),1,0)</f>
        <v/>
      </c>
      <c r="O322">
        <f>IF(D322=1,O321+1,0)</f>
        <v/>
      </c>
      <c r="P322">
        <f>IF(E322=1,P321+1,0)</f>
        <v/>
      </c>
      <c r="Q322">
        <f>IF(F322=1,Q321+1,0)</f>
        <v/>
      </c>
      <c r="R322">
        <f>IF(G322=1,R321+1,0)</f>
        <v/>
      </c>
      <c r="S322">
        <f>IF(H322=1,S321+1,0)</f>
        <v/>
      </c>
      <c r="T322">
        <f>IF(I322=1,T321+1,0)</f>
        <v/>
      </c>
      <c r="U322">
        <f>IF(J322=1,U321+1,0)</f>
        <v/>
      </c>
      <c r="V322">
        <f>IF(K322=1,V321+1,0)</f>
        <v/>
      </c>
      <c r="W322">
        <f>IF(L322=1,W321+1,0)</f>
        <v/>
      </c>
      <c r="X322">
        <f>IF(M322=1,X321+1,0)</f>
        <v/>
      </c>
    </row>
    <row r="323">
      <c r="A323" s="58">
        <f>'Start Here'!$E$6+320</f>
        <v/>
      </c>
      <c r="B323" t="n">
        <v>46</v>
      </c>
      <c r="C323" t="inlineStr">
        <is>
          <t>SAT</t>
        </is>
      </c>
      <c r="D323">
        <f>IF(AND(W46!H9&lt;&gt;"",W46!H9&lt;&gt;"✗"),1,0)</f>
        <v/>
      </c>
      <c r="E323">
        <f>IF(AND(W46!H10&lt;&gt;"",W46!H10&lt;&gt;"✗"),1,0)</f>
        <v/>
      </c>
      <c r="F323">
        <f>IF(AND(W46!H11&lt;&gt;"",W46!H11&lt;&gt;"✗"),1,0)</f>
        <v/>
      </c>
      <c r="G323">
        <f>IF(AND(W46!H12&lt;&gt;"",W46!H12&lt;&gt;"✗"),1,0)</f>
        <v/>
      </c>
      <c r="H323">
        <f>IF(AND(W46!H13&lt;&gt;"",W46!H13&lt;&gt;"✗"),1,0)</f>
        <v/>
      </c>
      <c r="I323">
        <f>IF(AND(W46!H14&lt;&gt;"",W46!H14&lt;&gt;"✗"),1,0)</f>
        <v/>
      </c>
      <c r="J323">
        <f>IF(AND(W46!H15&lt;&gt;"",W46!H15&lt;&gt;"✗"),1,0)</f>
        <v/>
      </c>
      <c r="K323">
        <f>IF(AND(W46!H16&lt;&gt;"",W46!H16&lt;&gt;"✗"),1,0)</f>
        <v/>
      </c>
      <c r="L323">
        <f>IF(AND(W46!H17&lt;&gt;"",W46!H17&lt;&gt;"✗"),1,0)</f>
        <v/>
      </c>
      <c r="M323">
        <f>IF(AND(W46!H18&lt;&gt;"",W46!H18&lt;&gt;"✗"),1,0)</f>
        <v/>
      </c>
      <c r="O323">
        <f>IF(D323=1,O322+1,0)</f>
        <v/>
      </c>
      <c r="P323">
        <f>IF(E323=1,P322+1,0)</f>
        <v/>
      </c>
      <c r="Q323">
        <f>IF(F323=1,Q322+1,0)</f>
        <v/>
      </c>
      <c r="R323">
        <f>IF(G323=1,R322+1,0)</f>
        <v/>
      </c>
      <c r="S323">
        <f>IF(H323=1,S322+1,0)</f>
        <v/>
      </c>
      <c r="T323">
        <f>IF(I323=1,T322+1,0)</f>
        <v/>
      </c>
      <c r="U323">
        <f>IF(J323=1,U322+1,0)</f>
        <v/>
      </c>
      <c r="V323">
        <f>IF(K323=1,V322+1,0)</f>
        <v/>
      </c>
      <c r="W323">
        <f>IF(L323=1,W322+1,0)</f>
        <v/>
      </c>
      <c r="X323">
        <f>IF(M323=1,X322+1,0)</f>
        <v/>
      </c>
    </row>
    <row r="324">
      <c r="A324" s="58">
        <f>'Start Here'!$E$6+321</f>
        <v/>
      </c>
      <c r="B324" t="n">
        <v>46</v>
      </c>
      <c r="C324" t="inlineStr">
        <is>
          <t>SUN</t>
        </is>
      </c>
      <c r="D324">
        <f>IF(AND(W46!I9&lt;&gt;"",W46!I9&lt;&gt;"✗"),1,0)</f>
        <v/>
      </c>
      <c r="E324">
        <f>IF(AND(W46!I10&lt;&gt;"",W46!I10&lt;&gt;"✗"),1,0)</f>
        <v/>
      </c>
      <c r="F324">
        <f>IF(AND(W46!I11&lt;&gt;"",W46!I11&lt;&gt;"✗"),1,0)</f>
        <v/>
      </c>
      <c r="G324">
        <f>IF(AND(W46!I12&lt;&gt;"",W46!I12&lt;&gt;"✗"),1,0)</f>
        <v/>
      </c>
      <c r="H324">
        <f>IF(AND(W46!I13&lt;&gt;"",W46!I13&lt;&gt;"✗"),1,0)</f>
        <v/>
      </c>
      <c r="I324">
        <f>IF(AND(W46!I14&lt;&gt;"",W46!I14&lt;&gt;"✗"),1,0)</f>
        <v/>
      </c>
      <c r="J324">
        <f>IF(AND(W46!I15&lt;&gt;"",W46!I15&lt;&gt;"✗"),1,0)</f>
        <v/>
      </c>
      <c r="K324">
        <f>IF(AND(W46!I16&lt;&gt;"",W46!I16&lt;&gt;"✗"),1,0)</f>
        <v/>
      </c>
      <c r="L324">
        <f>IF(AND(W46!I17&lt;&gt;"",W46!I17&lt;&gt;"✗"),1,0)</f>
        <v/>
      </c>
      <c r="M324">
        <f>IF(AND(W46!I18&lt;&gt;"",W46!I18&lt;&gt;"✗"),1,0)</f>
        <v/>
      </c>
      <c r="O324">
        <f>IF(D324=1,O323+1,0)</f>
        <v/>
      </c>
      <c r="P324">
        <f>IF(E324=1,P323+1,0)</f>
        <v/>
      </c>
      <c r="Q324">
        <f>IF(F324=1,Q323+1,0)</f>
        <v/>
      </c>
      <c r="R324">
        <f>IF(G324=1,R323+1,0)</f>
        <v/>
      </c>
      <c r="S324">
        <f>IF(H324=1,S323+1,0)</f>
        <v/>
      </c>
      <c r="T324">
        <f>IF(I324=1,T323+1,0)</f>
        <v/>
      </c>
      <c r="U324">
        <f>IF(J324=1,U323+1,0)</f>
        <v/>
      </c>
      <c r="V324">
        <f>IF(K324=1,V323+1,0)</f>
        <v/>
      </c>
      <c r="W324">
        <f>IF(L324=1,W323+1,0)</f>
        <v/>
      </c>
      <c r="X324">
        <f>IF(M324=1,X323+1,0)</f>
        <v/>
      </c>
    </row>
    <row r="325">
      <c r="A325" s="58">
        <f>'Start Here'!$E$6+322</f>
        <v/>
      </c>
      <c r="B325" t="n">
        <v>47</v>
      </c>
      <c r="C325" t="inlineStr">
        <is>
          <t>MON</t>
        </is>
      </c>
      <c r="D325">
        <f>IF(AND(W47!C9&lt;&gt;"",W47!C9&lt;&gt;"✗"),1,0)</f>
        <v/>
      </c>
      <c r="E325">
        <f>IF(AND(W47!C10&lt;&gt;"",W47!C10&lt;&gt;"✗"),1,0)</f>
        <v/>
      </c>
      <c r="F325">
        <f>IF(AND(W47!C11&lt;&gt;"",W47!C11&lt;&gt;"✗"),1,0)</f>
        <v/>
      </c>
      <c r="G325">
        <f>IF(AND(W47!C12&lt;&gt;"",W47!C12&lt;&gt;"✗"),1,0)</f>
        <v/>
      </c>
      <c r="H325">
        <f>IF(AND(W47!C13&lt;&gt;"",W47!C13&lt;&gt;"✗"),1,0)</f>
        <v/>
      </c>
      <c r="I325">
        <f>IF(AND(W47!C14&lt;&gt;"",W47!C14&lt;&gt;"✗"),1,0)</f>
        <v/>
      </c>
      <c r="J325">
        <f>IF(AND(W47!C15&lt;&gt;"",W47!C15&lt;&gt;"✗"),1,0)</f>
        <v/>
      </c>
      <c r="K325">
        <f>IF(AND(W47!C16&lt;&gt;"",W47!C16&lt;&gt;"✗"),1,0)</f>
        <v/>
      </c>
      <c r="L325">
        <f>IF(AND(W47!C17&lt;&gt;"",W47!C17&lt;&gt;"✗"),1,0)</f>
        <v/>
      </c>
      <c r="M325">
        <f>IF(AND(W47!C18&lt;&gt;"",W47!C18&lt;&gt;"✗"),1,0)</f>
        <v/>
      </c>
      <c r="O325">
        <f>IF(D325=1,O324+1,0)</f>
        <v/>
      </c>
      <c r="P325">
        <f>IF(E325=1,P324+1,0)</f>
        <v/>
      </c>
      <c r="Q325">
        <f>IF(F325=1,Q324+1,0)</f>
        <v/>
      </c>
      <c r="R325">
        <f>IF(G325=1,R324+1,0)</f>
        <v/>
      </c>
      <c r="S325">
        <f>IF(H325=1,S324+1,0)</f>
        <v/>
      </c>
      <c r="T325">
        <f>IF(I325=1,T324+1,0)</f>
        <v/>
      </c>
      <c r="U325">
        <f>IF(J325=1,U324+1,0)</f>
        <v/>
      </c>
      <c r="V325">
        <f>IF(K325=1,V324+1,0)</f>
        <v/>
      </c>
      <c r="W325">
        <f>IF(L325=1,W324+1,0)</f>
        <v/>
      </c>
      <c r="X325">
        <f>IF(M325=1,X324+1,0)</f>
        <v/>
      </c>
    </row>
    <row r="326">
      <c r="A326" s="58">
        <f>'Start Here'!$E$6+323</f>
        <v/>
      </c>
      <c r="B326" t="n">
        <v>47</v>
      </c>
      <c r="C326" t="inlineStr">
        <is>
          <t>TUE</t>
        </is>
      </c>
      <c r="D326">
        <f>IF(AND(W47!D9&lt;&gt;"",W47!D9&lt;&gt;"✗"),1,0)</f>
        <v/>
      </c>
      <c r="E326">
        <f>IF(AND(W47!D10&lt;&gt;"",W47!D10&lt;&gt;"✗"),1,0)</f>
        <v/>
      </c>
      <c r="F326">
        <f>IF(AND(W47!D11&lt;&gt;"",W47!D11&lt;&gt;"✗"),1,0)</f>
        <v/>
      </c>
      <c r="G326">
        <f>IF(AND(W47!D12&lt;&gt;"",W47!D12&lt;&gt;"✗"),1,0)</f>
        <v/>
      </c>
      <c r="H326">
        <f>IF(AND(W47!D13&lt;&gt;"",W47!D13&lt;&gt;"✗"),1,0)</f>
        <v/>
      </c>
      <c r="I326">
        <f>IF(AND(W47!D14&lt;&gt;"",W47!D14&lt;&gt;"✗"),1,0)</f>
        <v/>
      </c>
      <c r="J326">
        <f>IF(AND(W47!D15&lt;&gt;"",W47!D15&lt;&gt;"✗"),1,0)</f>
        <v/>
      </c>
      <c r="K326">
        <f>IF(AND(W47!D16&lt;&gt;"",W47!D16&lt;&gt;"✗"),1,0)</f>
        <v/>
      </c>
      <c r="L326">
        <f>IF(AND(W47!D17&lt;&gt;"",W47!D17&lt;&gt;"✗"),1,0)</f>
        <v/>
      </c>
      <c r="M326">
        <f>IF(AND(W47!D18&lt;&gt;"",W47!D18&lt;&gt;"✗"),1,0)</f>
        <v/>
      </c>
      <c r="O326">
        <f>IF(D326=1,O325+1,0)</f>
        <v/>
      </c>
      <c r="P326">
        <f>IF(E326=1,P325+1,0)</f>
        <v/>
      </c>
      <c r="Q326">
        <f>IF(F326=1,Q325+1,0)</f>
        <v/>
      </c>
      <c r="R326">
        <f>IF(G326=1,R325+1,0)</f>
        <v/>
      </c>
      <c r="S326">
        <f>IF(H326=1,S325+1,0)</f>
        <v/>
      </c>
      <c r="T326">
        <f>IF(I326=1,T325+1,0)</f>
        <v/>
      </c>
      <c r="U326">
        <f>IF(J326=1,U325+1,0)</f>
        <v/>
      </c>
      <c r="V326">
        <f>IF(K326=1,V325+1,0)</f>
        <v/>
      </c>
      <c r="W326">
        <f>IF(L326=1,W325+1,0)</f>
        <v/>
      </c>
      <c r="X326">
        <f>IF(M326=1,X325+1,0)</f>
        <v/>
      </c>
    </row>
    <row r="327">
      <c r="A327" s="58">
        <f>'Start Here'!$E$6+324</f>
        <v/>
      </c>
      <c r="B327" t="n">
        <v>47</v>
      </c>
      <c r="C327" t="inlineStr">
        <is>
          <t>WED</t>
        </is>
      </c>
      <c r="D327">
        <f>IF(AND(W47!E9&lt;&gt;"",W47!E9&lt;&gt;"✗"),1,0)</f>
        <v/>
      </c>
      <c r="E327">
        <f>IF(AND(W47!E10&lt;&gt;"",W47!E10&lt;&gt;"✗"),1,0)</f>
        <v/>
      </c>
      <c r="F327">
        <f>IF(AND(W47!E11&lt;&gt;"",W47!E11&lt;&gt;"✗"),1,0)</f>
        <v/>
      </c>
      <c r="G327">
        <f>IF(AND(W47!E12&lt;&gt;"",W47!E12&lt;&gt;"✗"),1,0)</f>
        <v/>
      </c>
      <c r="H327">
        <f>IF(AND(W47!E13&lt;&gt;"",W47!E13&lt;&gt;"✗"),1,0)</f>
        <v/>
      </c>
      <c r="I327">
        <f>IF(AND(W47!E14&lt;&gt;"",W47!E14&lt;&gt;"✗"),1,0)</f>
        <v/>
      </c>
      <c r="J327">
        <f>IF(AND(W47!E15&lt;&gt;"",W47!E15&lt;&gt;"✗"),1,0)</f>
        <v/>
      </c>
      <c r="K327">
        <f>IF(AND(W47!E16&lt;&gt;"",W47!E16&lt;&gt;"✗"),1,0)</f>
        <v/>
      </c>
      <c r="L327">
        <f>IF(AND(W47!E17&lt;&gt;"",W47!E17&lt;&gt;"✗"),1,0)</f>
        <v/>
      </c>
      <c r="M327">
        <f>IF(AND(W47!E18&lt;&gt;"",W47!E18&lt;&gt;"✗"),1,0)</f>
        <v/>
      </c>
      <c r="O327">
        <f>IF(D327=1,O326+1,0)</f>
        <v/>
      </c>
      <c r="P327">
        <f>IF(E327=1,P326+1,0)</f>
        <v/>
      </c>
      <c r="Q327">
        <f>IF(F327=1,Q326+1,0)</f>
        <v/>
      </c>
      <c r="R327">
        <f>IF(G327=1,R326+1,0)</f>
        <v/>
      </c>
      <c r="S327">
        <f>IF(H327=1,S326+1,0)</f>
        <v/>
      </c>
      <c r="T327">
        <f>IF(I327=1,T326+1,0)</f>
        <v/>
      </c>
      <c r="U327">
        <f>IF(J327=1,U326+1,0)</f>
        <v/>
      </c>
      <c r="V327">
        <f>IF(K327=1,V326+1,0)</f>
        <v/>
      </c>
      <c r="W327">
        <f>IF(L327=1,W326+1,0)</f>
        <v/>
      </c>
      <c r="X327">
        <f>IF(M327=1,X326+1,0)</f>
        <v/>
      </c>
    </row>
    <row r="328">
      <c r="A328" s="58">
        <f>'Start Here'!$E$6+325</f>
        <v/>
      </c>
      <c r="B328" t="n">
        <v>47</v>
      </c>
      <c r="C328" t="inlineStr">
        <is>
          <t>THU</t>
        </is>
      </c>
      <c r="D328">
        <f>IF(AND(W47!F9&lt;&gt;"",W47!F9&lt;&gt;"✗"),1,0)</f>
        <v/>
      </c>
      <c r="E328">
        <f>IF(AND(W47!F10&lt;&gt;"",W47!F10&lt;&gt;"✗"),1,0)</f>
        <v/>
      </c>
      <c r="F328">
        <f>IF(AND(W47!F11&lt;&gt;"",W47!F11&lt;&gt;"✗"),1,0)</f>
        <v/>
      </c>
      <c r="G328">
        <f>IF(AND(W47!F12&lt;&gt;"",W47!F12&lt;&gt;"✗"),1,0)</f>
        <v/>
      </c>
      <c r="H328">
        <f>IF(AND(W47!F13&lt;&gt;"",W47!F13&lt;&gt;"✗"),1,0)</f>
        <v/>
      </c>
      <c r="I328">
        <f>IF(AND(W47!F14&lt;&gt;"",W47!F14&lt;&gt;"✗"),1,0)</f>
        <v/>
      </c>
      <c r="J328">
        <f>IF(AND(W47!F15&lt;&gt;"",W47!F15&lt;&gt;"✗"),1,0)</f>
        <v/>
      </c>
      <c r="K328">
        <f>IF(AND(W47!F16&lt;&gt;"",W47!F16&lt;&gt;"✗"),1,0)</f>
        <v/>
      </c>
      <c r="L328">
        <f>IF(AND(W47!F17&lt;&gt;"",W47!F17&lt;&gt;"✗"),1,0)</f>
        <v/>
      </c>
      <c r="M328">
        <f>IF(AND(W47!F18&lt;&gt;"",W47!F18&lt;&gt;"✗"),1,0)</f>
        <v/>
      </c>
      <c r="O328">
        <f>IF(D328=1,O327+1,0)</f>
        <v/>
      </c>
      <c r="P328">
        <f>IF(E328=1,P327+1,0)</f>
        <v/>
      </c>
      <c r="Q328">
        <f>IF(F328=1,Q327+1,0)</f>
        <v/>
      </c>
      <c r="R328">
        <f>IF(G328=1,R327+1,0)</f>
        <v/>
      </c>
      <c r="S328">
        <f>IF(H328=1,S327+1,0)</f>
        <v/>
      </c>
      <c r="T328">
        <f>IF(I328=1,T327+1,0)</f>
        <v/>
      </c>
      <c r="U328">
        <f>IF(J328=1,U327+1,0)</f>
        <v/>
      </c>
      <c r="V328">
        <f>IF(K328=1,V327+1,0)</f>
        <v/>
      </c>
      <c r="W328">
        <f>IF(L328=1,W327+1,0)</f>
        <v/>
      </c>
      <c r="X328">
        <f>IF(M328=1,X327+1,0)</f>
        <v/>
      </c>
    </row>
    <row r="329">
      <c r="A329" s="58">
        <f>'Start Here'!$E$6+326</f>
        <v/>
      </c>
      <c r="B329" t="n">
        <v>47</v>
      </c>
      <c r="C329" t="inlineStr">
        <is>
          <t>FRI</t>
        </is>
      </c>
      <c r="D329">
        <f>IF(AND(W47!G9&lt;&gt;"",W47!G9&lt;&gt;"✗"),1,0)</f>
        <v/>
      </c>
      <c r="E329">
        <f>IF(AND(W47!G10&lt;&gt;"",W47!G10&lt;&gt;"✗"),1,0)</f>
        <v/>
      </c>
      <c r="F329">
        <f>IF(AND(W47!G11&lt;&gt;"",W47!G11&lt;&gt;"✗"),1,0)</f>
        <v/>
      </c>
      <c r="G329">
        <f>IF(AND(W47!G12&lt;&gt;"",W47!G12&lt;&gt;"✗"),1,0)</f>
        <v/>
      </c>
      <c r="H329">
        <f>IF(AND(W47!G13&lt;&gt;"",W47!G13&lt;&gt;"✗"),1,0)</f>
        <v/>
      </c>
      <c r="I329">
        <f>IF(AND(W47!G14&lt;&gt;"",W47!G14&lt;&gt;"✗"),1,0)</f>
        <v/>
      </c>
      <c r="J329">
        <f>IF(AND(W47!G15&lt;&gt;"",W47!G15&lt;&gt;"✗"),1,0)</f>
        <v/>
      </c>
      <c r="K329">
        <f>IF(AND(W47!G16&lt;&gt;"",W47!G16&lt;&gt;"✗"),1,0)</f>
        <v/>
      </c>
      <c r="L329">
        <f>IF(AND(W47!G17&lt;&gt;"",W47!G17&lt;&gt;"✗"),1,0)</f>
        <v/>
      </c>
      <c r="M329">
        <f>IF(AND(W47!G18&lt;&gt;"",W47!G18&lt;&gt;"✗"),1,0)</f>
        <v/>
      </c>
      <c r="O329">
        <f>IF(D329=1,O328+1,0)</f>
        <v/>
      </c>
      <c r="P329">
        <f>IF(E329=1,P328+1,0)</f>
        <v/>
      </c>
      <c r="Q329">
        <f>IF(F329=1,Q328+1,0)</f>
        <v/>
      </c>
      <c r="R329">
        <f>IF(G329=1,R328+1,0)</f>
        <v/>
      </c>
      <c r="S329">
        <f>IF(H329=1,S328+1,0)</f>
        <v/>
      </c>
      <c r="T329">
        <f>IF(I329=1,T328+1,0)</f>
        <v/>
      </c>
      <c r="U329">
        <f>IF(J329=1,U328+1,0)</f>
        <v/>
      </c>
      <c r="V329">
        <f>IF(K329=1,V328+1,0)</f>
        <v/>
      </c>
      <c r="W329">
        <f>IF(L329=1,W328+1,0)</f>
        <v/>
      </c>
      <c r="X329">
        <f>IF(M329=1,X328+1,0)</f>
        <v/>
      </c>
    </row>
    <row r="330">
      <c r="A330" s="58">
        <f>'Start Here'!$E$6+327</f>
        <v/>
      </c>
      <c r="B330" t="n">
        <v>47</v>
      </c>
      <c r="C330" t="inlineStr">
        <is>
          <t>SAT</t>
        </is>
      </c>
      <c r="D330">
        <f>IF(AND(W47!H9&lt;&gt;"",W47!H9&lt;&gt;"✗"),1,0)</f>
        <v/>
      </c>
      <c r="E330">
        <f>IF(AND(W47!H10&lt;&gt;"",W47!H10&lt;&gt;"✗"),1,0)</f>
        <v/>
      </c>
      <c r="F330">
        <f>IF(AND(W47!H11&lt;&gt;"",W47!H11&lt;&gt;"✗"),1,0)</f>
        <v/>
      </c>
      <c r="G330">
        <f>IF(AND(W47!H12&lt;&gt;"",W47!H12&lt;&gt;"✗"),1,0)</f>
        <v/>
      </c>
      <c r="H330">
        <f>IF(AND(W47!H13&lt;&gt;"",W47!H13&lt;&gt;"✗"),1,0)</f>
        <v/>
      </c>
      <c r="I330">
        <f>IF(AND(W47!H14&lt;&gt;"",W47!H14&lt;&gt;"✗"),1,0)</f>
        <v/>
      </c>
      <c r="J330">
        <f>IF(AND(W47!H15&lt;&gt;"",W47!H15&lt;&gt;"✗"),1,0)</f>
        <v/>
      </c>
      <c r="K330">
        <f>IF(AND(W47!H16&lt;&gt;"",W47!H16&lt;&gt;"✗"),1,0)</f>
        <v/>
      </c>
      <c r="L330">
        <f>IF(AND(W47!H17&lt;&gt;"",W47!H17&lt;&gt;"✗"),1,0)</f>
        <v/>
      </c>
      <c r="M330">
        <f>IF(AND(W47!H18&lt;&gt;"",W47!H18&lt;&gt;"✗"),1,0)</f>
        <v/>
      </c>
      <c r="O330">
        <f>IF(D330=1,O329+1,0)</f>
        <v/>
      </c>
      <c r="P330">
        <f>IF(E330=1,P329+1,0)</f>
        <v/>
      </c>
      <c r="Q330">
        <f>IF(F330=1,Q329+1,0)</f>
        <v/>
      </c>
      <c r="R330">
        <f>IF(G330=1,R329+1,0)</f>
        <v/>
      </c>
      <c r="S330">
        <f>IF(H330=1,S329+1,0)</f>
        <v/>
      </c>
      <c r="T330">
        <f>IF(I330=1,T329+1,0)</f>
        <v/>
      </c>
      <c r="U330">
        <f>IF(J330=1,U329+1,0)</f>
        <v/>
      </c>
      <c r="V330">
        <f>IF(K330=1,V329+1,0)</f>
        <v/>
      </c>
      <c r="W330">
        <f>IF(L330=1,W329+1,0)</f>
        <v/>
      </c>
      <c r="X330">
        <f>IF(M330=1,X329+1,0)</f>
        <v/>
      </c>
    </row>
    <row r="331">
      <c r="A331" s="58">
        <f>'Start Here'!$E$6+328</f>
        <v/>
      </c>
      <c r="B331" t="n">
        <v>47</v>
      </c>
      <c r="C331" t="inlineStr">
        <is>
          <t>SUN</t>
        </is>
      </c>
      <c r="D331">
        <f>IF(AND(W47!I9&lt;&gt;"",W47!I9&lt;&gt;"✗"),1,0)</f>
        <v/>
      </c>
      <c r="E331">
        <f>IF(AND(W47!I10&lt;&gt;"",W47!I10&lt;&gt;"✗"),1,0)</f>
        <v/>
      </c>
      <c r="F331">
        <f>IF(AND(W47!I11&lt;&gt;"",W47!I11&lt;&gt;"✗"),1,0)</f>
        <v/>
      </c>
      <c r="G331">
        <f>IF(AND(W47!I12&lt;&gt;"",W47!I12&lt;&gt;"✗"),1,0)</f>
        <v/>
      </c>
      <c r="H331">
        <f>IF(AND(W47!I13&lt;&gt;"",W47!I13&lt;&gt;"✗"),1,0)</f>
        <v/>
      </c>
      <c r="I331">
        <f>IF(AND(W47!I14&lt;&gt;"",W47!I14&lt;&gt;"✗"),1,0)</f>
        <v/>
      </c>
      <c r="J331">
        <f>IF(AND(W47!I15&lt;&gt;"",W47!I15&lt;&gt;"✗"),1,0)</f>
        <v/>
      </c>
      <c r="K331">
        <f>IF(AND(W47!I16&lt;&gt;"",W47!I16&lt;&gt;"✗"),1,0)</f>
        <v/>
      </c>
      <c r="L331">
        <f>IF(AND(W47!I17&lt;&gt;"",W47!I17&lt;&gt;"✗"),1,0)</f>
        <v/>
      </c>
      <c r="M331">
        <f>IF(AND(W47!I18&lt;&gt;"",W47!I18&lt;&gt;"✗"),1,0)</f>
        <v/>
      </c>
      <c r="O331">
        <f>IF(D331=1,O330+1,0)</f>
        <v/>
      </c>
      <c r="P331">
        <f>IF(E331=1,P330+1,0)</f>
        <v/>
      </c>
      <c r="Q331">
        <f>IF(F331=1,Q330+1,0)</f>
        <v/>
      </c>
      <c r="R331">
        <f>IF(G331=1,R330+1,0)</f>
        <v/>
      </c>
      <c r="S331">
        <f>IF(H331=1,S330+1,0)</f>
        <v/>
      </c>
      <c r="T331">
        <f>IF(I331=1,T330+1,0)</f>
        <v/>
      </c>
      <c r="U331">
        <f>IF(J331=1,U330+1,0)</f>
        <v/>
      </c>
      <c r="V331">
        <f>IF(K331=1,V330+1,0)</f>
        <v/>
      </c>
      <c r="W331">
        <f>IF(L331=1,W330+1,0)</f>
        <v/>
      </c>
      <c r="X331">
        <f>IF(M331=1,X330+1,0)</f>
        <v/>
      </c>
    </row>
    <row r="332">
      <c r="A332" s="58">
        <f>'Start Here'!$E$6+329</f>
        <v/>
      </c>
      <c r="B332" t="n">
        <v>48</v>
      </c>
      <c r="C332" t="inlineStr">
        <is>
          <t>MON</t>
        </is>
      </c>
      <c r="D332">
        <f>IF(AND(W48!C9&lt;&gt;"",W48!C9&lt;&gt;"✗"),1,0)</f>
        <v/>
      </c>
      <c r="E332">
        <f>IF(AND(W48!C10&lt;&gt;"",W48!C10&lt;&gt;"✗"),1,0)</f>
        <v/>
      </c>
      <c r="F332">
        <f>IF(AND(W48!C11&lt;&gt;"",W48!C11&lt;&gt;"✗"),1,0)</f>
        <v/>
      </c>
      <c r="G332">
        <f>IF(AND(W48!C12&lt;&gt;"",W48!C12&lt;&gt;"✗"),1,0)</f>
        <v/>
      </c>
      <c r="H332">
        <f>IF(AND(W48!C13&lt;&gt;"",W48!C13&lt;&gt;"✗"),1,0)</f>
        <v/>
      </c>
      <c r="I332">
        <f>IF(AND(W48!C14&lt;&gt;"",W48!C14&lt;&gt;"✗"),1,0)</f>
        <v/>
      </c>
      <c r="J332">
        <f>IF(AND(W48!C15&lt;&gt;"",W48!C15&lt;&gt;"✗"),1,0)</f>
        <v/>
      </c>
      <c r="K332">
        <f>IF(AND(W48!C16&lt;&gt;"",W48!C16&lt;&gt;"✗"),1,0)</f>
        <v/>
      </c>
      <c r="L332">
        <f>IF(AND(W48!C17&lt;&gt;"",W48!C17&lt;&gt;"✗"),1,0)</f>
        <v/>
      </c>
      <c r="M332">
        <f>IF(AND(W48!C18&lt;&gt;"",W48!C18&lt;&gt;"✗"),1,0)</f>
        <v/>
      </c>
      <c r="O332">
        <f>IF(D332=1,O331+1,0)</f>
        <v/>
      </c>
      <c r="P332">
        <f>IF(E332=1,P331+1,0)</f>
        <v/>
      </c>
      <c r="Q332">
        <f>IF(F332=1,Q331+1,0)</f>
        <v/>
      </c>
      <c r="R332">
        <f>IF(G332=1,R331+1,0)</f>
        <v/>
      </c>
      <c r="S332">
        <f>IF(H332=1,S331+1,0)</f>
        <v/>
      </c>
      <c r="T332">
        <f>IF(I332=1,T331+1,0)</f>
        <v/>
      </c>
      <c r="U332">
        <f>IF(J332=1,U331+1,0)</f>
        <v/>
      </c>
      <c r="V332">
        <f>IF(K332=1,V331+1,0)</f>
        <v/>
      </c>
      <c r="W332">
        <f>IF(L332=1,W331+1,0)</f>
        <v/>
      </c>
      <c r="X332">
        <f>IF(M332=1,X331+1,0)</f>
        <v/>
      </c>
    </row>
    <row r="333">
      <c r="A333" s="58">
        <f>'Start Here'!$E$6+330</f>
        <v/>
      </c>
      <c r="B333" t="n">
        <v>48</v>
      </c>
      <c r="C333" t="inlineStr">
        <is>
          <t>TUE</t>
        </is>
      </c>
      <c r="D333">
        <f>IF(AND(W48!D9&lt;&gt;"",W48!D9&lt;&gt;"✗"),1,0)</f>
        <v/>
      </c>
      <c r="E333">
        <f>IF(AND(W48!D10&lt;&gt;"",W48!D10&lt;&gt;"✗"),1,0)</f>
        <v/>
      </c>
      <c r="F333">
        <f>IF(AND(W48!D11&lt;&gt;"",W48!D11&lt;&gt;"✗"),1,0)</f>
        <v/>
      </c>
      <c r="G333">
        <f>IF(AND(W48!D12&lt;&gt;"",W48!D12&lt;&gt;"✗"),1,0)</f>
        <v/>
      </c>
      <c r="H333">
        <f>IF(AND(W48!D13&lt;&gt;"",W48!D13&lt;&gt;"✗"),1,0)</f>
        <v/>
      </c>
      <c r="I333">
        <f>IF(AND(W48!D14&lt;&gt;"",W48!D14&lt;&gt;"✗"),1,0)</f>
        <v/>
      </c>
      <c r="J333">
        <f>IF(AND(W48!D15&lt;&gt;"",W48!D15&lt;&gt;"✗"),1,0)</f>
        <v/>
      </c>
      <c r="K333">
        <f>IF(AND(W48!D16&lt;&gt;"",W48!D16&lt;&gt;"✗"),1,0)</f>
        <v/>
      </c>
      <c r="L333">
        <f>IF(AND(W48!D17&lt;&gt;"",W48!D17&lt;&gt;"✗"),1,0)</f>
        <v/>
      </c>
      <c r="M333">
        <f>IF(AND(W48!D18&lt;&gt;"",W48!D18&lt;&gt;"✗"),1,0)</f>
        <v/>
      </c>
      <c r="O333">
        <f>IF(D333=1,O332+1,0)</f>
        <v/>
      </c>
      <c r="P333">
        <f>IF(E333=1,P332+1,0)</f>
        <v/>
      </c>
      <c r="Q333">
        <f>IF(F333=1,Q332+1,0)</f>
        <v/>
      </c>
      <c r="R333">
        <f>IF(G333=1,R332+1,0)</f>
        <v/>
      </c>
      <c r="S333">
        <f>IF(H333=1,S332+1,0)</f>
        <v/>
      </c>
      <c r="T333">
        <f>IF(I333=1,T332+1,0)</f>
        <v/>
      </c>
      <c r="U333">
        <f>IF(J333=1,U332+1,0)</f>
        <v/>
      </c>
      <c r="V333">
        <f>IF(K333=1,V332+1,0)</f>
        <v/>
      </c>
      <c r="W333">
        <f>IF(L333=1,W332+1,0)</f>
        <v/>
      </c>
      <c r="X333">
        <f>IF(M333=1,X332+1,0)</f>
        <v/>
      </c>
    </row>
    <row r="334">
      <c r="A334" s="58">
        <f>'Start Here'!$E$6+331</f>
        <v/>
      </c>
      <c r="B334" t="n">
        <v>48</v>
      </c>
      <c r="C334" t="inlineStr">
        <is>
          <t>WED</t>
        </is>
      </c>
      <c r="D334">
        <f>IF(AND(W48!E9&lt;&gt;"",W48!E9&lt;&gt;"✗"),1,0)</f>
        <v/>
      </c>
      <c r="E334">
        <f>IF(AND(W48!E10&lt;&gt;"",W48!E10&lt;&gt;"✗"),1,0)</f>
        <v/>
      </c>
      <c r="F334">
        <f>IF(AND(W48!E11&lt;&gt;"",W48!E11&lt;&gt;"✗"),1,0)</f>
        <v/>
      </c>
      <c r="G334">
        <f>IF(AND(W48!E12&lt;&gt;"",W48!E12&lt;&gt;"✗"),1,0)</f>
        <v/>
      </c>
      <c r="H334">
        <f>IF(AND(W48!E13&lt;&gt;"",W48!E13&lt;&gt;"✗"),1,0)</f>
        <v/>
      </c>
      <c r="I334">
        <f>IF(AND(W48!E14&lt;&gt;"",W48!E14&lt;&gt;"✗"),1,0)</f>
        <v/>
      </c>
      <c r="J334">
        <f>IF(AND(W48!E15&lt;&gt;"",W48!E15&lt;&gt;"✗"),1,0)</f>
        <v/>
      </c>
      <c r="K334">
        <f>IF(AND(W48!E16&lt;&gt;"",W48!E16&lt;&gt;"✗"),1,0)</f>
        <v/>
      </c>
      <c r="L334">
        <f>IF(AND(W48!E17&lt;&gt;"",W48!E17&lt;&gt;"✗"),1,0)</f>
        <v/>
      </c>
      <c r="M334">
        <f>IF(AND(W48!E18&lt;&gt;"",W48!E18&lt;&gt;"✗"),1,0)</f>
        <v/>
      </c>
      <c r="O334">
        <f>IF(D334=1,O333+1,0)</f>
        <v/>
      </c>
      <c r="P334">
        <f>IF(E334=1,P333+1,0)</f>
        <v/>
      </c>
      <c r="Q334">
        <f>IF(F334=1,Q333+1,0)</f>
        <v/>
      </c>
      <c r="R334">
        <f>IF(G334=1,R333+1,0)</f>
        <v/>
      </c>
      <c r="S334">
        <f>IF(H334=1,S333+1,0)</f>
        <v/>
      </c>
      <c r="T334">
        <f>IF(I334=1,T333+1,0)</f>
        <v/>
      </c>
      <c r="U334">
        <f>IF(J334=1,U333+1,0)</f>
        <v/>
      </c>
      <c r="V334">
        <f>IF(K334=1,V333+1,0)</f>
        <v/>
      </c>
      <c r="W334">
        <f>IF(L334=1,W333+1,0)</f>
        <v/>
      </c>
      <c r="X334">
        <f>IF(M334=1,X333+1,0)</f>
        <v/>
      </c>
    </row>
    <row r="335">
      <c r="A335" s="58">
        <f>'Start Here'!$E$6+332</f>
        <v/>
      </c>
      <c r="B335" t="n">
        <v>48</v>
      </c>
      <c r="C335" t="inlineStr">
        <is>
          <t>THU</t>
        </is>
      </c>
      <c r="D335">
        <f>IF(AND(W48!F9&lt;&gt;"",W48!F9&lt;&gt;"✗"),1,0)</f>
        <v/>
      </c>
      <c r="E335">
        <f>IF(AND(W48!F10&lt;&gt;"",W48!F10&lt;&gt;"✗"),1,0)</f>
        <v/>
      </c>
      <c r="F335">
        <f>IF(AND(W48!F11&lt;&gt;"",W48!F11&lt;&gt;"✗"),1,0)</f>
        <v/>
      </c>
      <c r="G335">
        <f>IF(AND(W48!F12&lt;&gt;"",W48!F12&lt;&gt;"✗"),1,0)</f>
        <v/>
      </c>
      <c r="H335">
        <f>IF(AND(W48!F13&lt;&gt;"",W48!F13&lt;&gt;"✗"),1,0)</f>
        <v/>
      </c>
      <c r="I335">
        <f>IF(AND(W48!F14&lt;&gt;"",W48!F14&lt;&gt;"✗"),1,0)</f>
        <v/>
      </c>
      <c r="J335">
        <f>IF(AND(W48!F15&lt;&gt;"",W48!F15&lt;&gt;"✗"),1,0)</f>
        <v/>
      </c>
      <c r="K335">
        <f>IF(AND(W48!F16&lt;&gt;"",W48!F16&lt;&gt;"✗"),1,0)</f>
        <v/>
      </c>
      <c r="L335">
        <f>IF(AND(W48!F17&lt;&gt;"",W48!F17&lt;&gt;"✗"),1,0)</f>
        <v/>
      </c>
      <c r="M335">
        <f>IF(AND(W48!F18&lt;&gt;"",W48!F18&lt;&gt;"✗"),1,0)</f>
        <v/>
      </c>
      <c r="O335">
        <f>IF(D335=1,O334+1,0)</f>
        <v/>
      </c>
      <c r="P335">
        <f>IF(E335=1,P334+1,0)</f>
        <v/>
      </c>
      <c r="Q335">
        <f>IF(F335=1,Q334+1,0)</f>
        <v/>
      </c>
      <c r="R335">
        <f>IF(G335=1,R334+1,0)</f>
        <v/>
      </c>
      <c r="S335">
        <f>IF(H335=1,S334+1,0)</f>
        <v/>
      </c>
      <c r="T335">
        <f>IF(I335=1,T334+1,0)</f>
        <v/>
      </c>
      <c r="U335">
        <f>IF(J335=1,U334+1,0)</f>
        <v/>
      </c>
      <c r="V335">
        <f>IF(K335=1,V334+1,0)</f>
        <v/>
      </c>
      <c r="W335">
        <f>IF(L335=1,W334+1,0)</f>
        <v/>
      </c>
      <c r="X335">
        <f>IF(M335=1,X334+1,0)</f>
        <v/>
      </c>
    </row>
    <row r="336">
      <c r="A336" s="58">
        <f>'Start Here'!$E$6+333</f>
        <v/>
      </c>
      <c r="B336" t="n">
        <v>48</v>
      </c>
      <c r="C336" t="inlineStr">
        <is>
          <t>FRI</t>
        </is>
      </c>
      <c r="D336">
        <f>IF(AND(W48!G9&lt;&gt;"",W48!G9&lt;&gt;"✗"),1,0)</f>
        <v/>
      </c>
      <c r="E336">
        <f>IF(AND(W48!G10&lt;&gt;"",W48!G10&lt;&gt;"✗"),1,0)</f>
        <v/>
      </c>
      <c r="F336">
        <f>IF(AND(W48!G11&lt;&gt;"",W48!G11&lt;&gt;"✗"),1,0)</f>
        <v/>
      </c>
      <c r="G336">
        <f>IF(AND(W48!G12&lt;&gt;"",W48!G12&lt;&gt;"✗"),1,0)</f>
        <v/>
      </c>
      <c r="H336">
        <f>IF(AND(W48!G13&lt;&gt;"",W48!G13&lt;&gt;"✗"),1,0)</f>
        <v/>
      </c>
      <c r="I336">
        <f>IF(AND(W48!G14&lt;&gt;"",W48!G14&lt;&gt;"✗"),1,0)</f>
        <v/>
      </c>
      <c r="J336">
        <f>IF(AND(W48!G15&lt;&gt;"",W48!G15&lt;&gt;"✗"),1,0)</f>
        <v/>
      </c>
      <c r="K336">
        <f>IF(AND(W48!G16&lt;&gt;"",W48!G16&lt;&gt;"✗"),1,0)</f>
        <v/>
      </c>
      <c r="L336">
        <f>IF(AND(W48!G17&lt;&gt;"",W48!G17&lt;&gt;"✗"),1,0)</f>
        <v/>
      </c>
      <c r="M336">
        <f>IF(AND(W48!G18&lt;&gt;"",W48!G18&lt;&gt;"✗"),1,0)</f>
        <v/>
      </c>
      <c r="O336">
        <f>IF(D336=1,O335+1,0)</f>
        <v/>
      </c>
      <c r="P336">
        <f>IF(E336=1,P335+1,0)</f>
        <v/>
      </c>
      <c r="Q336">
        <f>IF(F336=1,Q335+1,0)</f>
        <v/>
      </c>
      <c r="R336">
        <f>IF(G336=1,R335+1,0)</f>
        <v/>
      </c>
      <c r="S336">
        <f>IF(H336=1,S335+1,0)</f>
        <v/>
      </c>
      <c r="T336">
        <f>IF(I336=1,T335+1,0)</f>
        <v/>
      </c>
      <c r="U336">
        <f>IF(J336=1,U335+1,0)</f>
        <v/>
      </c>
      <c r="V336">
        <f>IF(K336=1,V335+1,0)</f>
        <v/>
      </c>
      <c r="W336">
        <f>IF(L336=1,W335+1,0)</f>
        <v/>
      </c>
      <c r="X336">
        <f>IF(M336=1,X335+1,0)</f>
        <v/>
      </c>
    </row>
    <row r="337">
      <c r="A337" s="58">
        <f>'Start Here'!$E$6+334</f>
        <v/>
      </c>
      <c r="B337" t="n">
        <v>48</v>
      </c>
      <c r="C337" t="inlineStr">
        <is>
          <t>SAT</t>
        </is>
      </c>
      <c r="D337">
        <f>IF(AND(W48!H9&lt;&gt;"",W48!H9&lt;&gt;"✗"),1,0)</f>
        <v/>
      </c>
      <c r="E337">
        <f>IF(AND(W48!H10&lt;&gt;"",W48!H10&lt;&gt;"✗"),1,0)</f>
        <v/>
      </c>
      <c r="F337">
        <f>IF(AND(W48!H11&lt;&gt;"",W48!H11&lt;&gt;"✗"),1,0)</f>
        <v/>
      </c>
      <c r="G337">
        <f>IF(AND(W48!H12&lt;&gt;"",W48!H12&lt;&gt;"✗"),1,0)</f>
        <v/>
      </c>
      <c r="H337">
        <f>IF(AND(W48!H13&lt;&gt;"",W48!H13&lt;&gt;"✗"),1,0)</f>
        <v/>
      </c>
      <c r="I337">
        <f>IF(AND(W48!H14&lt;&gt;"",W48!H14&lt;&gt;"✗"),1,0)</f>
        <v/>
      </c>
      <c r="J337">
        <f>IF(AND(W48!H15&lt;&gt;"",W48!H15&lt;&gt;"✗"),1,0)</f>
        <v/>
      </c>
      <c r="K337">
        <f>IF(AND(W48!H16&lt;&gt;"",W48!H16&lt;&gt;"✗"),1,0)</f>
        <v/>
      </c>
      <c r="L337">
        <f>IF(AND(W48!H17&lt;&gt;"",W48!H17&lt;&gt;"✗"),1,0)</f>
        <v/>
      </c>
      <c r="M337">
        <f>IF(AND(W48!H18&lt;&gt;"",W48!H18&lt;&gt;"✗"),1,0)</f>
        <v/>
      </c>
      <c r="O337">
        <f>IF(D337=1,O336+1,0)</f>
        <v/>
      </c>
      <c r="P337">
        <f>IF(E337=1,P336+1,0)</f>
        <v/>
      </c>
      <c r="Q337">
        <f>IF(F337=1,Q336+1,0)</f>
        <v/>
      </c>
      <c r="R337">
        <f>IF(G337=1,R336+1,0)</f>
        <v/>
      </c>
      <c r="S337">
        <f>IF(H337=1,S336+1,0)</f>
        <v/>
      </c>
      <c r="T337">
        <f>IF(I337=1,T336+1,0)</f>
        <v/>
      </c>
      <c r="U337">
        <f>IF(J337=1,U336+1,0)</f>
        <v/>
      </c>
      <c r="V337">
        <f>IF(K337=1,V336+1,0)</f>
        <v/>
      </c>
      <c r="W337">
        <f>IF(L337=1,W336+1,0)</f>
        <v/>
      </c>
      <c r="X337">
        <f>IF(M337=1,X336+1,0)</f>
        <v/>
      </c>
    </row>
    <row r="338">
      <c r="A338" s="58">
        <f>'Start Here'!$E$6+335</f>
        <v/>
      </c>
      <c r="B338" t="n">
        <v>48</v>
      </c>
      <c r="C338" t="inlineStr">
        <is>
          <t>SUN</t>
        </is>
      </c>
      <c r="D338">
        <f>IF(AND(W48!I9&lt;&gt;"",W48!I9&lt;&gt;"✗"),1,0)</f>
        <v/>
      </c>
      <c r="E338">
        <f>IF(AND(W48!I10&lt;&gt;"",W48!I10&lt;&gt;"✗"),1,0)</f>
        <v/>
      </c>
      <c r="F338">
        <f>IF(AND(W48!I11&lt;&gt;"",W48!I11&lt;&gt;"✗"),1,0)</f>
        <v/>
      </c>
      <c r="G338">
        <f>IF(AND(W48!I12&lt;&gt;"",W48!I12&lt;&gt;"✗"),1,0)</f>
        <v/>
      </c>
      <c r="H338">
        <f>IF(AND(W48!I13&lt;&gt;"",W48!I13&lt;&gt;"✗"),1,0)</f>
        <v/>
      </c>
      <c r="I338">
        <f>IF(AND(W48!I14&lt;&gt;"",W48!I14&lt;&gt;"✗"),1,0)</f>
        <v/>
      </c>
      <c r="J338">
        <f>IF(AND(W48!I15&lt;&gt;"",W48!I15&lt;&gt;"✗"),1,0)</f>
        <v/>
      </c>
      <c r="K338">
        <f>IF(AND(W48!I16&lt;&gt;"",W48!I16&lt;&gt;"✗"),1,0)</f>
        <v/>
      </c>
      <c r="L338">
        <f>IF(AND(W48!I17&lt;&gt;"",W48!I17&lt;&gt;"✗"),1,0)</f>
        <v/>
      </c>
      <c r="M338">
        <f>IF(AND(W48!I18&lt;&gt;"",W48!I18&lt;&gt;"✗"),1,0)</f>
        <v/>
      </c>
      <c r="O338">
        <f>IF(D338=1,O337+1,0)</f>
        <v/>
      </c>
      <c r="P338">
        <f>IF(E338=1,P337+1,0)</f>
        <v/>
      </c>
      <c r="Q338">
        <f>IF(F338=1,Q337+1,0)</f>
        <v/>
      </c>
      <c r="R338">
        <f>IF(G338=1,R337+1,0)</f>
        <v/>
      </c>
      <c r="S338">
        <f>IF(H338=1,S337+1,0)</f>
        <v/>
      </c>
      <c r="T338">
        <f>IF(I338=1,T337+1,0)</f>
        <v/>
      </c>
      <c r="U338">
        <f>IF(J338=1,U337+1,0)</f>
        <v/>
      </c>
      <c r="V338">
        <f>IF(K338=1,V337+1,0)</f>
        <v/>
      </c>
      <c r="W338">
        <f>IF(L338=1,W337+1,0)</f>
        <v/>
      </c>
      <c r="X338">
        <f>IF(M338=1,X337+1,0)</f>
        <v/>
      </c>
    </row>
    <row r="339">
      <c r="A339" s="58">
        <f>'Start Here'!$E$6+336</f>
        <v/>
      </c>
      <c r="B339" t="n">
        <v>49</v>
      </c>
      <c r="C339" t="inlineStr">
        <is>
          <t>MON</t>
        </is>
      </c>
      <c r="D339">
        <f>IF(AND(W49!C9&lt;&gt;"",W49!C9&lt;&gt;"✗"),1,0)</f>
        <v/>
      </c>
      <c r="E339">
        <f>IF(AND(W49!C10&lt;&gt;"",W49!C10&lt;&gt;"✗"),1,0)</f>
        <v/>
      </c>
      <c r="F339">
        <f>IF(AND(W49!C11&lt;&gt;"",W49!C11&lt;&gt;"✗"),1,0)</f>
        <v/>
      </c>
      <c r="G339">
        <f>IF(AND(W49!C12&lt;&gt;"",W49!C12&lt;&gt;"✗"),1,0)</f>
        <v/>
      </c>
      <c r="H339">
        <f>IF(AND(W49!C13&lt;&gt;"",W49!C13&lt;&gt;"✗"),1,0)</f>
        <v/>
      </c>
      <c r="I339">
        <f>IF(AND(W49!C14&lt;&gt;"",W49!C14&lt;&gt;"✗"),1,0)</f>
        <v/>
      </c>
      <c r="J339">
        <f>IF(AND(W49!C15&lt;&gt;"",W49!C15&lt;&gt;"✗"),1,0)</f>
        <v/>
      </c>
      <c r="K339">
        <f>IF(AND(W49!C16&lt;&gt;"",W49!C16&lt;&gt;"✗"),1,0)</f>
        <v/>
      </c>
      <c r="L339">
        <f>IF(AND(W49!C17&lt;&gt;"",W49!C17&lt;&gt;"✗"),1,0)</f>
        <v/>
      </c>
      <c r="M339">
        <f>IF(AND(W49!C18&lt;&gt;"",W49!C18&lt;&gt;"✗"),1,0)</f>
        <v/>
      </c>
      <c r="O339">
        <f>IF(D339=1,O338+1,0)</f>
        <v/>
      </c>
      <c r="P339">
        <f>IF(E339=1,P338+1,0)</f>
        <v/>
      </c>
      <c r="Q339">
        <f>IF(F339=1,Q338+1,0)</f>
        <v/>
      </c>
      <c r="R339">
        <f>IF(G339=1,R338+1,0)</f>
        <v/>
      </c>
      <c r="S339">
        <f>IF(H339=1,S338+1,0)</f>
        <v/>
      </c>
      <c r="T339">
        <f>IF(I339=1,T338+1,0)</f>
        <v/>
      </c>
      <c r="U339">
        <f>IF(J339=1,U338+1,0)</f>
        <v/>
      </c>
      <c r="V339">
        <f>IF(K339=1,V338+1,0)</f>
        <v/>
      </c>
      <c r="W339">
        <f>IF(L339=1,W338+1,0)</f>
        <v/>
      </c>
      <c r="X339">
        <f>IF(M339=1,X338+1,0)</f>
        <v/>
      </c>
    </row>
    <row r="340">
      <c r="A340" s="58">
        <f>'Start Here'!$E$6+337</f>
        <v/>
      </c>
      <c r="B340" t="n">
        <v>49</v>
      </c>
      <c r="C340" t="inlineStr">
        <is>
          <t>TUE</t>
        </is>
      </c>
      <c r="D340">
        <f>IF(AND(W49!D9&lt;&gt;"",W49!D9&lt;&gt;"✗"),1,0)</f>
        <v/>
      </c>
      <c r="E340">
        <f>IF(AND(W49!D10&lt;&gt;"",W49!D10&lt;&gt;"✗"),1,0)</f>
        <v/>
      </c>
      <c r="F340">
        <f>IF(AND(W49!D11&lt;&gt;"",W49!D11&lt;&gt;"✗"),1,0)</f>
        <v/>
      </c>
      <c r="G340">
        <f>IF(AND(W49!D12&lt;&gt;"",W49!D12&lt;&gt;"✗"),1,0)</f>
        <v/>
      </c>
      <c r="H340">
        <f>IF(AND(W49!D13&lt;&gt;"",W49!D13&lt;&gt;"✗"),1,0)</f>
        <v/>
      </c>
      <c r="I340">
        <f>IF(AND(W49!D14&lt;&gt;"",W49!D14&lt;&gt;"✗"),1,0)</f>
        <v/>
      </c>
      <c r="J340">
        <f>IF(AND(W49!D15&lt;&gt;"",W49!D15&lt;&gt;"✗"),1,0)</f>
        <v/>
      </c>
      <c r="K340">
        <f>IF(AND(W49!D16&lt;&gt;"",W49!D16&lt;&gt;"✗"),1,0)</f>
        <v/>
      </c>
      <c r="L340">
        <f>IF(AND(W49!D17&lt;&gt;"",W49!D17&lt;&gt;"✗"),1,0)</f>
        <v/>
      </c>
      <c r="M340">
        <f>IF(AND(W49!D18&lt;&gt;"",W49!D18&lt;&gt;"✗"),1,0)</f>
        <v/>
      </c>
      <c r="O340">
        <f>IF(D340=1,O339+1,0)</f>
        <v/>
      </c>
      <c r="P340">
        <f>IF(E340=1,P339+1,0)</f>
        <v/>
      </c>
      <c r="Q340">
        <f>IF(F340=1,Q339+1,0)</f>
        <v/>
      </c>
      <c r="R340">
        <f>IF(G340=1,R339+1,0)</f>
        <v/>
      </c>
      <c r="S340">
        <f>IF(H340=1,S339+1,0)</f>
        <v/>
      </c>
      <c r="T340">
        <f>IF(I340=1,T339+1,0)</f>
        <v/>
      </c>
      <c r="U340">
        <f>IF(J340=1,U339+1,0)</f>
        <v/>
      </c>
      <c r="V340">
        <f>IF(K340=1,V339+1,0)</f>
        <v/>
      </c>
      <c r="W340">
        <f>IF(L340=1,W339+1,0)</f>
        <v/>
      </c>
      <c r="X340">
        <f>IF(M340=1,X339+1,0)</f>
        <v/>
      </c>
    </row>
    <row r="341">
      <c r="A341" s="58">
        <f>'Start Here'!$E$6+338</f>
        <v/>
      </c>
      <c r="B341" t="n">
        <v>49</v>
      </c>
      <c r="C341" t="inlineStr">
        <is>
          <t>WED</t>
        </is>
      </c>
      <c r="D341">
        <f>IF(AND(W49!E9&lt;&gt;"",W49!E9&lt;&gt;"✗"),1,0)</f>
        <v/>
      </c>
      <c r="E341">
        <f>IF(AND(W49!E10&lt;&gt;"",W49!E10&lt;&gt;"✗"),1,0)</f>
        <v/>
      </c>
      <c r="F341">
        <f>IF(AND(W49!E11&lt;&gt;"",W49!E11&lt;&gt;"✗"),1,0)</f>
        <v/>
      </c>
      <c r="G341">
        <f>IF(AND(W49!E12&lt;&gt;"",W49!E12&lt;&gt;"✗"),1,0)</f>
        <v/>
      </c>
      <c r="H341">
        <f>IF(AND(W49!E13&lt;&gt;"",W49!E13&lt;&gt;"✗"),1,0)</f>
        <v/>
      </c>
      <c r="I341">
        <f>IF(AND(W49!E14&lt;&gt;"",W49!E14&lt;&gt;"✗"),1,0)</f>
        <v/>
      </c>
      <c r="J341">
        <f>IF(AND(W49!E15&lt;&gt;"",W49!E15&lt;&gt;"✗"),1,0)</f>
        <v/>
      </c>
      <c r="K341">
        <f>IF(AND(W49!E16&lt;&gt;"",W49!E16&lt;&gt;"✗"),1,0)</f>
        <v/>
      </c>
      <c r="L341">
        <f>IF(AND(W49!E17&lt;&gt;"",W49!E17&lt;&gt;"✗"),1,0)</f>
        <v/>
      </c>
      <c r="M341">
        <f>IF(AND(W49!E18&lt;&gt;"",W49!E18&lt;&gt;"✗"),1,0)</f>
        <v/>
      </c>
      <c r="O341">
        <f>IF(D341=1,O340+1,0)</f>
        <v/>
      </c>
      <c r="P341">
        <f>IF(E341=1,P340+1,0)</f>
        <v/>
      </c>
      <c r="Q341">
        <f>IF(F341=1,Q340+1,0)</f>
        <v/>
      </c>
      <c r="R341">
        <f>IF(G341=1,R340+1,0)</f>
        <v/>
      </c>
      <c r="S341">
        <f>IF(H341=1,S340+1,0)</f>
        <v/>
      </c>
      <c r="T341">
        <f>IF(I341=1,T340+1,0)</f>
        <v/>
      </c>
      <c r="U341">
        <f>IF(J341=1,U340+1,0)</f>
        <v/>
      </c>
      <c r="V341">
        <f>IF(K341=1,V340+1,0)</f>
        <v/>
      </c>
      <c r="W341">
        <f>IF(L341=1,W340+1,0)</f>
        <v/>
      </c>
      <c r="X341">
        <f>IF(M341=1,X340+1,0)</f>
        <v/>
      </c>
    </row>
    <row r="342">
      <c r="A342" s="58">
        <f>'Start Here'!$E$6+339</f>
        <v/>
      </c>
      <c r="B342" t="n">
        <v>49</v>
      </c>
      <c r="C342" t="inlineStr">
        <is>
          <t>THU</t>
        </is>
      </c>
      <c r="D342">
        <f>IF(AND(W49!F9&lt;&gt;"",W49!F9&lt;&gt;"✗"),1,0)</f>
        <v/>
      </c>
      <c r="E342">
        <f>IF(AND(W49!F10&lt;&gt;"",W49!F10&lt;&gt;"✗"),1,0)</f>
        <v/>
      </c>
      <c r="F342">
        <f>IF(AND(W49!F11&lt;&gt;"",W49!F11&lt;&gt;"✗"),1,0)</f>
        <v/>
      </c>
      <c r="G342">
        <f>IF(AND(W49!F12&lt;&gt;"",W49!F12&lt;&gt;"✗"),1,0)</f>
        <v/>
      </c>
      <c r="H342">
        <f>IF(AND(W49!F13&lt;&gt;"",W49!F13&lt;&gt;"✗"),1,0)</f>
        <v/>
      </c>
      <c r="I342">
        <f>IF(AND(W49!F14&lt;&gt;"",W49!F14&lt;&gt;"✗"),1,0)</f>
        <v/>
      </c>
      <c r="J342">
        <f>IF(AND(W49!F15&lt;&gt;"",W49!F15&lt;&gt;"✗"),1,0)</f>
        <v/>
      </c>
      <c r="K342">
        <f>IF(AND(W49!F16&lt;&gt;"",W49!F16&lt;&gt;"✗"),1,0)</f>
        <v/>
      </c>
      <c r="L342">
        <f>IF(AND(W49!F17&lt;&gt;"",W49!F17&lt;&gt;"✗"),1,0)</f>
        <v/>
      </c>
      <c r="M342">
        <f>IF(AND(W49!F18&lt;&gt;"",W49!F18&lt;&gt;"✗"),1,0)</f>
        <v/>
      </c>
      <c r="O342">
        <f>IF(D342=1,O341+1,0)</f>
        <v/>
      </c>
      <c r="P342">
        <f>IF(E342=1,P341+1,0)</f>
        <v/>
      </c>
      <c r="Q342">
        <f>IF(F342=1,Q341+1,0)</f>
        <v/>
      </c>
      <c r="R342">
        <f>IF(G342=1,R341+1,0)</f>
        <v/>
      </c>
      <c r="S342">
        <f>IF(H342=1,S341+1,0)</f>
        <v/>
      </c>
      <c r="T342">
        <f>IF(I342=1,T341+1,0)</f>
        <v/>
      </c>
      <c r="U342">
        <f>IF(J342=1,U341+1,0)</f>
        <v/>
      </c>
      <c r="V342">
        <f>IF(K342=1,V341+1,0)</f>
        <v/>
      </c>
      <c r="W342">
        <f>IF(L342=1,W341+1,0)</f>
        <v/>
      </c>
      <c r="X342">
        <f>IF(M342=1,X341+1,0)</f>
        <v/>
      </c>
    </row>
    <row r="343">
      <c r="A343" s="58">
        <f>'Start Here'!$E$6+340</f>
        <v/>
      </c>
      <c r="B343" t="n">
        <v>49</v>
      </c>
      <c r="C343" t="inlineStr">
        <is>
          <t>FRI</t>
        </is>
      </c>
      <c r="D343">
        <f>IF(AND(W49!G9&lt;&gt;"",W49!G9&lt;&gt;"✗"),1,0)</f>
        <v/>
      </c>
      <c r="E343">
        <f>IF(AND(W49!G10&lt;&gt;"",W49!G10&lt;&gt;"✗"),1,0)</f>
        <v/>
      </c>
      <c r="F343">
        <f>IF(AND(W49!G11&lt;&gt;"",W49!G11&lt;&gt;"✗"),1,0)</f>
        <v/>
      </c>
      <c r="G343">
        <f>IF(AND(W49!G12&lt;&gt;"",W49!G12&lt;&gt;"✗"),1,0)</f>
        <v/>
      </c>
      <c r="H343">
        <f>IF(AND(W49!G13&lt;&gt;"",W49!G13&lt;&gt;"✗"),1,0)</f>
        <v/>
      </c>
      <c r="I343">
        <f>IF(AND(W49!G14&lt;&gt;"",W49!G14&lt;&gt;"✗"),1,0)</f>
        <v/>
      </c>
      <c r="J343">
        <f>IF(AND(W49!G15&lt;&gt;"",W49!G15&lt;&gt;"✗"),1,0)</f>
        <v/>
      </c>
      <c r="K343">
        <f>IF(AND(W49!G16&lt;&gt;"",W49!G16&lt;&gt;"✗"),1,0)</f>
        <v/>
      </c>
      <c r="L343">
        <f>IF(AND(W49!G17&lt;&gt;"",W49!G17&lt;&gt;"✗"),1,0)</f>
        <v/>
      </c>
      <c r="M343">
        <f>IF(AND(W49!G18&lt;&gt;"",W49!G18&lt;&gt;"✗"),1,0)</f>
        <v/>
      </c>
      <c r="O343">
        <f>IF(D343=1,O342+1,0)</f>
        <v/>
      </c>
      <c r="P343">
        <f>IF(E343=1,P342+1,0)</f>
        <v/>
      </c>
      <c r="Q343">
        <f>IF(F343=1,Q342+1,0)</f>
        <v/>
      </c>
      <c r="R343">
        <f>IF(G343=1,R342+1,0)</f>
        <v/>
      </c>
      <c r="S343">
        <f>IF(H343=1,S342+1,0)</f>
        <v/>
      </c>
      <c r="T343">
        <f>IF(I343=1,T342+1,0)</f>
        <v/>
      </c>
      <c r="U343">
        <f>IF(J343=1,U342+1,0)</f>
        <v/>
      </c>
      <c r="V343">
        <f>IF(K343=1,V342+1,0)</f>
        <v/>
      </c>
      <c r="W343">
        <f>IF(L343=1,W342+1,0)</f>
        <v/>
      </c>
      <c r="X343">
        <f>IF(M343=1,X342+1,0)</f>
        <v/>
      </c>
    </row>
    <row r="344">
      <c r="A344" s="58">
        <f>'Start Here'!$E$6+341</f>
        <v/>
      </c>
      <c r="B344" t="n">
        <v>49</v>
      </c>
      <c r="C344" t="inlineStr">
        <is>
          <t>SAT</t>
        </is>
      </c>
      <c r="D344">
        <f>IF(AND(W49!H9&lt;&gt;"",W49!H9&lt;&gt;"✗"),1,0)</f>
        <v/>
      </c>
      <c r="E344">
        <f>IF(AND(W49!H10&lt;&gt;"",W49!H10&lt;&gt;"✗"),1,0)</f>
        <v/>
      </c>
      <c r="F344">
        <f>IF(AND(W49!H11&lt;&gt;"",W49!H11&lt;&gt;"✗"),1,0)</f>
        <v/>
      </c>
      <c r="G344">
        <f>IF(AND(W49!H12&lt;&gt;"",W49!H12&lt;&gt;"✗"),1,0)</f>
        <v/>
      </c>
      <c r="H344">
        <f>IF(AND(W49!H13&lt;&gt;"",W49!H13&lt;&gt;"✗"),1,0)</f>
        <v/>
      </c>
      <c r="I344">
        <f>IF(AND(W49!H14&lt;&gt;"",W49!H14&lt;&gt;"✗"),1,0)</f>
        <v/>
      </c>
      <c r="J344">
        <f>IF(AND(W49!H15&lt;&gt;"",W49!H15&lt;&gt;"✗"),1,0)</f>
        <v/>
      </c>
      <c r="K344">
        <f>IF(AND(W49!H16&lt;&gt;"",W49!H16&lt;&gt;"✗"),1,0)</f>
        <v/>
      </c>
      <c r="L344">
        <f>IF(AND(W49!H17&lt;&gt;"",W49!H17&lt;&gt;"✗"),1,0)</f>
        <v/>
      </c>
      <c r="M344">
        <f>IF(AND(W49!H18&lt;&gt;"",W49!H18&lt;&gt;"✗"),1,0)</f>
        <v/>
      </c>
      <c r="O344">
        <f>IF(D344=1,O343+1,0)</f>
        <v/>
      </c>
      <c r="P344">
        <f>IF(E344=1,P343+1,0)</f>
        <v/>
      </c>
      <c r="Q344">
        <f>IF(F344=1,Q343+1,0)</f>
        <v/>
      </c>
      <c r="R344">
        <f>IF(G344=1,R343+1,0)</f>
        <v/>
      </c>
      <c r="S344">
        <f>IF(H344=1,S343+1,0)</f>
        <v/>
      </c>
      <c r="T344">
        <f>IF(I344=1,T343+1,0)</f>
        <v/>
      </c>
      <c r="U344">
        <f>IF(J344=1,U343+1,0)</f>
        <v/>
      </c>
      <c r="V344">
        <f>IF(K344=1,V343+1,0)</f>
        <v/>
      </c>
      <c r="W344">
        <f>IF(L344=1,W343+1,0)</f>
        <v/>
      </c>
      <c r="X344">
        <f>IF(M344=1,X343+1,0)</f>
        <v/>
      </c>
    </row>
    <row r="345">
      <c r="A345" s="58">
        <f>'Start Here'!$E$6+342</f>
        <v/>
      </c>
      <c r="B345" t="n">
        <v>49</v>
      </c>
      <c r="C345" t="inlineStr">
        <is>
          <t>SUN</t>
        </is>
      </c>
      <c r="D345">
        <f>IF(AND(W49!I9&lt;&gt;"",W49!I9&lt;&gt;"✗"),1,0)</f>
        <v/>
      </c>
      <c r="E345">
        <f>IF(AND(W49!I10&lt;&gt;"",W49!I10&lt;&gt;"✗"),1,0)</f>
        <v/>
      </c>
      <c r="F345">
        <f>IF(AND(W49!I11&lt;&gt;"",W49!I11&lt;&gt;"✗"),1,0)</f>
        <v/>
      </c>
      <c r="G345">
        <f>IF(AND(W49!I12&lt;&gt;"",W49!I12&lt;&gt;"✗"),1,0)</f>
        <v/>
      </c>
      <c r="H345">
        <f>IF(AND(W49!I13&lt;&gt;"",W49!I13&lt;&gt;"✗"),1,0)</f>
        <v/>
      </c>
      <c r="I345">
        <f>IF(AND(W49!I14&lt;&gt;"",W49!I14&lt;&gt;"✗"),1,0)</f>
        <v/>
      </c>
      <c r="J345">
        <f>IF(AND(W49!I15&lt;&gt;"",W49!I15&lt;&gt;"✗"),1,0)</f>
        <v/>
      </c>
      <c r="K345">
        <f>IF(AND(W49!I16&lt;&gt;"",W49!I16&lt;&gt;"✗"),1,0)</f>
        <v/>
      </c>
      <c r="L345">
        <f>IF(AND(W49!I17&lt;&gt;"",W49!I17&lt;&gt;"✗"),1,0)</f>
        <v/>
      </c>
      <c r="M345">
        <f>IF(AND(W49!I18&lt;&gt;"",W49!I18&lt;&gt;"✗"),1,0)</f>
        <v/>
      </c>
      <c r="O345">
        <f>IF(D345=1,O344+1,0)</f>
        <v/>
      </c>
      <c r="P345">
        <f>IF(E345=1,P344+1,0)</f>
        <v/>
      </c>
      <c r="Q345">
        <f>IF(F345=1,Q344+1,0)</f>
        <v/>
      </c>
      <c r="R345">
        <f>IF(G345=1,R344+1,0)</f>
        <v/>
      </c>
      <c r="S345">
        <f>IF(H345=1,S344+1,0)</f>
        <v/>
      </c>
      <c r="T345">
        <f>IF(I345=1,T344+1,0)</f>
        <v/>
      </c>
      <c r="U345">
        <f>IF(J345=1,U344+1,0)</f>
        <v/>
      </c>
      <c r="V345">
        <f>IF(K345=1,V344+1,0)</f>
        <v/>
      </c>
      <c r="W345">
        <f>IF(L345=1,W344+1,0)</f>
        <v/>
      </c>
      <c r="X345">
        <f>IF(M345=1,X344+1,0)</f>
        <v/>
      </c>
    </row>
    <row r="346">
      <c r="A346" s="58">
        <f>'Start Here'!$E$6+343</f>
        <v/>
      </c>
      <c r="B346" t="n">
        <v>50</v>
      </c>
      <c r="C346" t="inlineStr">
        <is>
          <t>MON</t>
        </is>
      </c>
      <c r="D346">
        <f>IF(AND(W50!C9&lt;&gt;"",W50!C9&lt;&gt;"✗"),1,0)</f>
        <v/>
      </c>
      <c r="E346">
        <f>IF(AND(W50!C10&lt;&gt;"",W50!C10&lt;&gt;"✗"),1,0)</f>
        <v/>
      </c>
      <c r="F346">
        <f>IF(AND(W50!C11&lt;&gt;"",W50!C11&lt;&gt;"✗"),1,0)</f>
        <v/>
      </c>
      <c r="G346">
        <f>IF(AND(W50!C12&lt;&gt;"",W50!C12&lt;&gt;"✗"),1,0)</f>
        <v/>
      </c>
      <c r="H346">
        <f>IF(AND(W50!C13&lt;&gt;"",W50!C13&lt;&gt;"✗"),1,0)</f>
        <v/>
      </c>
      <c r="I346">
        <f>IF(AND(W50!C14&lt;&gt;"",W50!C14&lt;&gt;"✗"),1,0)</f>
        <v/>
      </c>
      <c r="J346">
        <f>IF(AND(W50!C15&lt;&gt;"",W50!C15&lt;&gt;"✗"),1,0)</f>
        <v/>
      </c>
      <c r="K346">
        <f>IF(AND(W50!C16&lt;&gt;"",W50!C16&lt;&gt;"✗"),1,0)</f>
        <v/>
      </c>
      <c r="L346">
        <f>IF(AND(W50!C17&lt;&gt;"",W50!C17&lt;&gt;"✗"),1,0)</f>
        <v/>
      </c>
      <c r="M346">
        <f>IF(AND(W50!C18&lt;&gt;"",W50!C18&lt;&gt;"✗"),1,0)</f>
        <v/>
      </c>
      <c r="O346">
        <f>IF(D346=1,O345+1,0)</f>
        <v/>
      </c>
      <c r="P346">
        <f>IF(E346=1,P345+1,0)</f>
        <v/>
      </c>
      <c r="Q346">
        <f>IF(F346=1,Q345+1,0)</f>
        <v/>
      </c>
      <c r="R346">
        <f>IF(G346=1,R345+1,0)</f>
        <v/>
      </c>
      <c r="S346">
        <f>IF(H346=1,S345+1,0)</f>
        <v/>
      </c>
      <c r="T346">
        <f>IF(I346=1,T345+1,0)</f>
        <v/>
      </c>
      <c r="U346">
        <f>IF(J346=1,U345+1,0)</f>
        <v/>
      </c>
      <c r="V346">
        <f>IF(K346=1,V345+1,0)</f>
        <v/>
      </c>
      <c r="W346">
        <f>IF(L346=1,W345+1,0)</f>
        <v/>
      </c>
      <c r="X346">
        <f>IF(M346=1,X345+1,0)</f>
        <v/>
      </c>
    </row>
    <row r="347">
      <c r="A347" s="58">
        <f>'Start Here'!$E$6+344</f>
        <v/>
      </c>
      <c r="B347" t="n">
        <v>50</v>
      </c>
      <c r="C347" t="inlineStr">
        <is>
          <t>TUE</t>
        </is>
      </c>
      <c r="D347">
        <f>IF(AND(W50!D9&lt;&gt;"",W50!D9&lt;&gt;"✗"),1,0)</f>
        <v/>
      </c>
      <c r="E347">
        <f>IF(AND(W50!D10&lt;&gt;"",W50!D10&lt;&gt;"✗"),1,0)</f>
        <v/>
      </c>
      <c r="F347">
        <f>IF(AND(W50!D11&lt;&gt;"",W50!D11&lt;&gt;"✗"),1,0)</f>
        <v/>
      </c>
      <c r="G347">
        <f>IF(AND(W50!D12&lt;&gt;"",W50!D12&lt;&gt;"✗"),1,0)</f>
        <v/>
      </c>
      <c r="H347">
        <f>IF(AND(W50!D13&lt;&gt;"",W50!D13&lt;&gt;"✗"),1,0)</f>
        <v/>
      </c>
      <c r="I347">
        <f>IF(AND(W50!D14&lt;&gt;"",W50!D14&lt;&gt;"✗"),1,0)</f>
        <v/>
      </c>
      <c r="J347">
        <f>IF(AND(W50!D15&lt;&gt;"",W50!D15&lt;&gt;"✗"),1,0)</f>
        <v/>
      </c>
      <c r="K347">
        <f>IF(AND(W50!D16&lt;&gt;"",W50!D16&lt;&gt;"✗"),1,0)</f>
        <v/>
      </c>
      <c r="L347">
        <f>IF(AND(W50!D17&lt;&gt;"",W50!D17&lt;&gt;"✗"),1,0)</f>
        <v/>
      </c>
      <c r="M347">
        <f>IF(AND(W50!D18&lt;&gt;"",W50!D18&lt;&gt;"✗"),1,0)</f>
        <v/>
      </c>
      <c r="O347">
        <f>IF(D347=1,O346+1,0)</f>
        <v/>
      </c>
      <c r="P347">
        <f>IF(E347=1,P346+1,0)</f>
        <v/>
      </c>
      <c r="Q347">
        <f>IF(F347=1,Q346+1,0)</f>
        <v/>
      </c>
      <c r="R347">
        <f>IF(G347=1,R346+1,0)</f>
        <v/>
      </c>
      <c r="S347">
        <f>IF(H347=1,S346+1,0)</f>
        <v/>
      </c>
      <c r="T347">
        <f>IF(I347=1,T346+1,0)</f>
        <v/>
      </c>
      <c r="U347">
        <f>IF(J347=1,U346+1,0)</f>
        <v/>
      </c>
      <c r="V347">
        <f>IF(K347=1,V346+1,0)</f>
        <v/>
      </c>
      <c r="W347">
        <f>IF(L347=1,W346+1,0)</f>
        <v/>
      </c>
      <c r="X347">
        <f>IF(M347=1,X346+1,0)</f>
        <v/>
      </c>
    </row>
    <row r="348">
      <c r="A348" s="58">
        <f>'Start Here'!$E$6+345</f>
        <v/>
      </c>
      <c r="B348" t="n">
        <v>50</v>
      </c>
      <c r="C348" t="inlineStr">
        <is>
          <t>WED</t>
        </is>
      </c>
      <c r="D348">
        <f>IF(AND(W50!E9&lt;&gt;"",W50!E9&lt;&gt;"✗"),1,0)</f>
        <v/>
      </c>
      <c r="E348">
        <f>IF(AND(W50!E10&lt;&gt;"",W50!E10&lt;&gt;"✗"),1,0)</f>
        <v/>
      </c>
      <c r="F348">
        <f>IF(AND(W50!E11&lt;&gt;"",W50!E11&lt;&gt;"✗"),1,0)</f>
        <v/>
      </c>
      <c r="G348">
        <f>IF(AND(W50!E12&lt;&gt;"",W50!E12&lt;&gt;"✗"),1,0)</f>
        <v/>
      </c>
      <c r="H348">
        <f>IF(AND(W50!E13&lt;&gt;"",W50!E13&lt;&gt;"✗"),1,0)</f>
        <v/>
      </c>
      <c r="I348">
        <f>IF(AND(W50!E14&lt;&gt;"",W50!E14&lt;&gt;"✗"),1,0)</f>
        <v/>
      </c>
      <c r="J348">
        <f>IF(AND(W50!E15&lt;&gt;"",W50!E15&lt;&gt;"✗"),1,0)</f>
        <v/>
      </c>
      <c r="K348">
        <f>IF(AND(W50!E16&lt;&gt;"",W50!E16&lt;&gt;"✗"),1,0)</f>
        <v/>
      </c>
      <c r="L348">
        <f>IF(AND(W50!E17&lt;&gt;"",W50!E17&lt;&gt;"✗"),1,0)</f>
        <v/>
      </c>
      <c r="M348">
        <f>IF(AND(W50!E18&lt;&gt;"",W50!E18&lt;&gt;"✗"),1,0)</f>
        <v/>
      </c>
      <c r="O348">
        <f>IF(D348=1,O347+1,0)</f>
        <v/>
      </c>
      <c r="P348">
        <f>IF(E348=1,P347+1,0)</f>
        <v/>
      </c>
      <c r="Q348">
        <f>IF(F348=1,Q347+1,0)</f>
        <v/>
      </c>
      <c r="R348">
        <f>IF(G348=1,R347+1,0)</f>
        <v/>
      </c>
      <c r="S348">
        <f>IF(H348=1,S347+1,0)</f>
        <v/>
      </c>
      <c r="T348">
        <f>IF(I348=1,T347+1,0)</f>
        <v/>
      </c>
      <c r="U348">
        <f>IF(J348=1,U347+1,0)</f>
        <v/>
      </c>
      <c r="V348">
        <f>IF(K348=1,V347+1,0)</f>
        <v/>
      </c>
      <c r="W348">
        <f>IF(L348=1,W347+1,0)</f>
        <v/>
      </c>
      <c r="X348">
        <f>IF(M348=1,X347+1,0)</f>
        <v/>
      </c>
    </row>
    <row r="349">
      <c r="A349" s="58">
        <f>'Start Here'!$E$6+346</f>
        <v/>
      </c>
      <c r="B349" t="n">
        <v>50</v>
      </c>
      <c r="C349" t="inlineStr">
        <is>
          <t>THU</t>
        </is>
      </c>
      <c r="D349">
        <f>IF(AND(W50!F9&lt;&gt;"",W50!F9&lt;&gt;"✗"),1,0)</f>
        <v/>
      </c>
      <c r="E349">
        <f>IF(AND(W50!F10&lt;&gt;"",W50!F10&lt;&gt;"✗"),1,0)</f>
        <v/>
      </c>
      <c r="F349">
        <f>IF(AND(W50!F11&lt;&gt;"",W50!F11&lt;&gt;"✗"),1,0)</f>
        <v/>
      </c>
      <c r="G349">
        <f>IF(AND(W50!F12&lt;&gt;"",W50!F12&lt;&gt;"✗"),1,0)</f>
        <v/>
      </c>
      <c r="H349">
        <f>IF(AND(W50!F13&lt;&gt;"",W50!F13&lt;&gt;"✗"),1,0)</f>
        <v/>
      </c>
      <c r="I349">
        <f>IF(AND(W50!F14&lt;&gt;"",W50!F14&lt;&gt;"✗"),1,0)</f>
        <v/>
      </c>
      <c r="J349">
        <f>IF(AND(W50!F15&lt;&gt;"",W50!F15&lt;&gt;"✗"),1,0)</f>
        <v/>
      </c>
      <c r="K349">
        <f>IF(AND(W50!F16&lt;&gt;"",W50!F16&lt;&gt;"✗"),1,0)</f>
        <v/>
      </c>
      <c r="L349">
        <f>IF(AND(W50!F17&lt;&gt;"",W50!F17&lt;&gt;"✗"),1,0)</f>
        <v/>
      </c>
      <c r="M349">
        <f>IF(AND(W50!F18&lt;&gt;"",W50!F18&lt;&gt;"✗"),1,0)</f>
        <v/>
      </c>
      <c r="O349">
        <f>IF(D349=1,O348+1,0)</f>
        <v/>
      </c>
      <c r="P349">
        <f>IF(E349=1,P348+1,0)</f>
        <v/>
      </c>
      <c r="Q349">
        <f>IF(F349=1,Q348+1,0)</f>
        <v/>
      </c>
      <c r="R349">
        <f>IF(G349=1,R348+1,0)</f>
        <v/>
      </c>
      <c r="S349">
        <f>IF(H349=1,S348+1,0)</f>
        <v/>
      </c>
      <c r="T349">
        <f>IF(I349=1,T348+1,0)</f>
        <v/>
      </c>
      <c r="U349">
        <f>IF(J349=1,U348+1,0)</f>
        <v/>
      </c>
      <c r="V349">
        <f>IF(K349=1,V348+1,0)</f>
        <v/>
      </c>
      <c r="W349">
        <f>IF(L349=1,W348+1,0)</f>
        <v/>
      </c>
      <c r="X349">
        <f>IF(M349=1,X348+1,0)</f>
        <v/>
      </c>
    </row>
    <row r="350">
      <c r="A350" s="58">
        <f>'Start Here'!$E$6+347</f>
        <v/>
      </c>
      <c r="B350" t="n">
        <v>50</v>
      </c>
      <c r="C350" t="inlineStr">
        <is>
          <t>FRI</t>
        </is>
      </c>
      <c r="D350">
        <f>IF(AND(W50!G9&lt;&gt;"",W50!G9&lt;&gt;"✗"),1,0)</f>
        <v/>
      </c>
      <c r="E350">
        <f>IF(AND(W50!G10&lt;&gt;"",W50!G10&lt;&gt;"✗"),1,0)</f>
        <v/>
      </c>
      <c r="F350">
        <f>IF(AND(W50!G11&lt;&gt;"",W50!G11&lt;&gt;"✗"),1,0)</f>
        <v/>
      </c>
      <c r="G350">
        <f>IF(AND(W50!G12&lt;&gt;"",W50!G12&lt;&gt;"✗"),1,0)</f>
        <v/>
      </c>
      <c r="H350">
        <f>IF(AND(W50!G13&lt;&gt;"",W50!G13&lt;&gt;"✗"),1,0)</f>
        <v/>
      </c>
      <c r="I350">
        <f>IF(AND(W50!G14&lt;&gt;"",W50!G14&lt;&gt;"✗"),1,0)</f>
        <v/>
      </c>
      <c r="J350">
        <f>IF(AND(W50!G15&lt;&gt;"",W50!G15&lt;&gt;"✗"),1,0)</f>
        <v/>
      </c>
      <c r="K350">
        <f>IF(AND(W50!G16&lt;&gt;"",W50!G16&lt;&gt;"✗"),1,0)</f>
        <v/>
      </c>
      <c r="L350">
        <f>IF(AND(W50!G17&lt;&gt;"",W50!G17&lt;&gt;"✗"),1,0)</f>
        <v/>
      </c>
      <c r="M350">
        <f>IF(AND(W50!G18&lt;&gt;"",W50!G18&lt;&gt;"✗"),1,0)</f>
        <v/>
      </c>
      <c r="O350">
        <f>IF(D350=1,O349+1,0)</f>
        <v/>
      </c>
      <c r="P350">
        <f>IF(E350=1,P349+1,0)</f>
        <v/>
      </c>
      <c r="Q350">
        <f>IF(F350=1,Q349+1,0)</f>
        <v/>
      </c>
      <c r="R350">
        <f>IF(G350=1,R349+1,0)</f>
        <v/>
      </c>
      <c r="S350">
        <f>IF(H350=1,S349+1,0)</f>
        <v/>
      </c>
      <c r="T350">
        <f>IF(I350=1,T349+1,0)</f>
        <v/>
      </c>
      <c r="U350">
        <f>IF(J350=1,U349+1,0)</f>
        <v/>
      </c>
      <c r="V350">
        <f>IF(K350=1,V349+1,0)</f>
        <v/>
      </c>
      <c r="W350">
        <f>IF(L350=1,W349+1,0)</f>
        <v/>
      </c>
      <c r="X350">
        <f>IF(M350=1,X349+1,0)</f>
        <v/>
      </c>
    </row>
    <row r="351">
      <c r="A351" s="58">
        <f>'Start Here'!$E$6+348</f>
        <v/>
      </c>
      <c r="B351" t="n">
        <v>50</v>
      </c>
      <c r="C351" t="inlineStr">
        <is>
          <t>SAT</t>
        </is>
      </c>
      <c r="D351">
        <f>IF(AND(W50!H9&lt;&gt;"",W50!H9&lt;&gt;"✗"),1,0)</f>
        <v/>
      </c>
      <c r="E351">
        <f>IF(AND(W50!H10&lt;&gt;"",W50!H10&lt;&gt;"✗"),1,0)</f>
        <v/>
      </c>
      <c r="F351">
        <f>IF(AND(W50!H11&lt;&gt;"",W50!H11&lt;&gt;"✗"),1,0)</f>
        <v/>
      </c>
      <c r="G351">
        <f>IF(AND(W50!H12&lt;&gt;"",W50!H12&lt;&gt;"✗"),1,0)</f>
        <v/>
      </c>
      <c r="H351">
        <f>IF(AND(W50!H13&lt;&gt;"",W50!H13&lt;&gt;"✗"),1,0)</f>
        <v/>
      </c>
      <c r="I351">
        <f>IF(AND(W50!H14&lt;&gt;"",W50!H14&lt;&gt;"✗"),1,0)</f>
        <v/>
      </c>
      <c r="J351">
        <f>IF(AND(W50!H15&lt;&gt;"",W50!H15&lt;&gt;"✗"),1,0)</f>
        <v/>
      </c>
      <c r="K351">
        <f>IF(AND(W50!H16&lt;&gt;"",W50!H16&lt;&gt;"✗"),1,0)</f>
        <v/>
      </c>
      <c r="L351">
        <f>IF(AND(W50!H17&lt;&gt;"",W50!H17&lt;&gt;"✗"),1,0)</f>
        <v/>
      </c>
      <c r="M351">
        <f>IF(AND(W50!H18&lt;&gt;"",W50!H18&lt;&gt;"✗"),1,0)</f>
        <v/>
      </c>
      <c r="O351">
        <f>IF(D351=1,O350+1,0)</f>
        <v/>
      </c>
      <c r="P351">
        <f>IF(E351=1,P350+1,0)</f>
        <v/>
      </c>
      <c r="Q351">
        <f>IF(F351=1,Q350+1,0)</f>
        <v/>
      </c>
      <c r="R351">
        <f>IF(G351=1,R350+1,0)</f>
        <v/>
      </c>
      <c r="S351">
        <f>IF(H351=1,S350+1,0)</f>
        <v/>
      </c>
      <c r="T351">
        <f>IF(I351=1,T350+1,0)</f>
        <v/>
      </c>
      <c r="U351">
        <f>IF(J351=1,U350+1,0)</f>
        <v/>
      </c>
      <c r="V351">
        <f>IF(K351=1,V350+1,0)</f>
        <v/>
      </c>
      <c r="W351">
        <f>IF(L351=1,W350+1,0)</f>
        <v/>
      </c>
      <c r="X351">
        <f>IF(M351=1,X350+1,0)</f>
        <v/>
      </c>
    </row>
    <row r="352">
      <c r="A352" s="58">
        <f>'Start Here'!$E$6+349</f>
        <v/>
      </c>
      <c r="B352" t="n">
        <v>50</v>
      </c>
      <c r="C352" t="inlineStr">
        <is>
          <t>SUN</t>
        </is>
      </c>
      <c r="D352">
        <f>IF(AND(W50!I9&lt;&gt;"",W50!I9&lt;&gt;"✗"),1,0)</f>
        <v/>
      </c>
      <c r="E352">
        <f>IF(AND(W50!I10&lt;&gt;"",W50!I10&lt;&gt;"✗"),1,0)</f>
        <v/>
      </c>
      <c r="F352">
        <f>IF(AND(W50!I11&lt;&gt;"",W50!I11&lt;&gt;"✗"),1,0)</f>
        <v/>
      </c>
      <c r="G352">
        <f>IF(AND(W50!I12&lt;&gt;"",W50!I12&lt;&gt;"✗"),1,0)</f>
        <v/>
      </c>
      <c r="H352">
        <f>IF(AND(W50!I13&lt;&gt;"",W50!I13&lt;&gt;"✗"),1,0)</f>
        <v/>
      </c>
      <c r="I352">
        <f>IF(AND(W50!I14&lt;&gt;"",W50!I14&lt;&gt;"✗"),1,0)</f>
        <v/>
      </c>
      <c r="J352">
        <f>IF(AND(W50!I15&lt;&gt;"",W50!I15&lt;&gt;"✗"),1,0)</f>
        <v/>
      </c>
      <c r="K352">
        <f>IF(AND(W50!I16&lt;&gt;"",W50!I16&lt;&gt;"✗"),1,0)</f>
        <v/>
      </c>
      <c r="L352">
        <f>IF(AND(W50!I17&lt;&gt;"",W50!I17&lt;&gt;"✗"),1,0)</f>
        <v/>
      </c>
      <c r="M352">
        <f>IF(AND(W50!I18&lt;&gt;"",W50!I18&lt;&gt;"✗"),1,0)</f>
        <v/>
      </c>
      <c r="O352">
        <f>IF(D352=1,O351+1,0)</f>
        <v/>
      </c>
      <c r="P352">
        <f>IF(E352=1,P351+1,0)</f>
        <v/>
      </c>
      <c r="Q352">
        <f>IF(F352=1,Q351+1,0)</f>
        <v/>
      </c>
      <c r="R352">
        <f>IF(G352=1,R351+1,0)</f>
        <v/>
      </c>
      <c r="S352">
        <f>IF(H352=1,S351+1,0)</f>
        <v/>
      </c>
      <c r="T352">
        <f>IF(I352=1,T351+1,0)</f>
        <v/>
      </c>
      <c r="U352">
        <f>IF(J352=1,U351+1,0)</f>
        <v/>
      </c>
      <c r="V352">
        <f>IF(K352=1,V351+1,0)</f>
        <v/>
      </c>
      <c r="W352">
        <f>IF(L352=1,W351+1,0)</f>
        <v/>
      </c>
      <c r="X352">
        <f>IF(M352=1,X351+1,0)</f>
        <v/>
      </c>
    </row>
    <row r="353">
      <c r="A353" s="58">
        <f>'Start Here'!$E$6+350</f>
        <v/>
      </c>
      <c r="B353" t="n">
        <v>51</v>
      </c>
      <c r="C353" t="inlineStr">
        <is>
          <t>MON</t>
        </is>
      </c>
      <c r="D353">
        <f>IF(AND(W51!C9&lt;&gt;"",W51!C9&lt;&gt;"✗"),1,0)</f>
        <v/>
      </c>
      <c r="E353">
        <f>IF(AND(W51!C10&lt;&gt;"",W51!C10&lt;&gt;"✗"),1,0)</f>
        <v/>
      </c>
      <c r="F353">
        <f>IF(AND(W51!C11&lt;&gt;"",W51!C11&lt;&gt;"✗"),1,0)</f>
        <v/>
      </c>
      <c r="G353">
        <f>IF(AND(W51!C12&lt;&gt;"",W51!C12&lt;&gt;"✗"),1,0)</f>
        <v/>
      </c>
      <c r="H353">
        <f>IF(AND(W51!C13&lt;&gt;"",W51!C13&lt;&gt;"✗"),1,0)</f>
        <v/>
      </c>
      <c r="I353">
        <f>IF(AND(W51!C14&lt;&gt;"",W51!C14&lt;&gt;"✗"),1,0)</f>
        <v/>
      </c>
      <c r="J353">
        <f>IF(AND(W51!C15&lt;&gt;"",W51!C15&lt;&gt;"✗"),1,0)</f>
        <v/>
      </c>
      <c r="K353">
        <f>IF(AND(W51!C16&lt;&gt;"",W51!C16&lt;&gt;"✗"),1,0)</f>
        <v/>
      </c>
      <c r="L353">
        <f>IF(AND(W51!C17&lt;&gt;"",W51!C17&lt;&gt;"✗"),1,0)</f>
        <v/>
      </c>
      <c r="M353">
        <f>IF(AND(W51!C18&lt;&gt;"",W51!C18&lt;&gt;"✗"),1,0)</f>
        <v/>
      </c>
      <c r="O353">
        <f>IF(D353=1,O352+1,0)</f>
        <v/>
      </c>
      <c r="P353">
        <f>IF(E353=1,P352+1,0)</f>
        <v/>
      </c>
      <c r="Q353">
        <f>IF(F353=1,Q352+1,0)</f>
        <v/>
      </c>
      <c r="R353">
        <f>IF(G353=1,R352+1,0)</f>
        <v/>
      </c>
      <c r="S353">
        <f>IF(H353=1,S352+1,0)</f>
        <v/>
      </c>
      <c r="T353">
        <f>IF(I353=1,T352+1,0)</f>
        <v/>
      </c>
      <c r="U353">
        <f>IF(J353=1,U352+1,0)</f>
        <v/>
      </c>
      <c r="V353">
        <f>IF(K353=1,V352+1,0)</f>
        <v/>
      </c>
      <c r="W353">
        <f>IF(L353=1,W352+1,0)</f>
        <v/>
      </c>
      <c r="X353">
        <f>IF(M353=1,X352+1,0)</f>
        <v/>
      </c>
    </row>
    <row r="354">
      <c r="A354" s="58">
        <f>'Start Here'!$E$6+351</f>
        <v/>
      </c>
      <c r="B354" t="n">
        <v>51</v>
      </c>
      <c r="C354" t="inlineStr">
        <is>
          <t>TUE</t>
        </is>
      </c>
      <c r="D354">
        <f>IF(AND(W51!D9&lt;&gt;"",W51!D9&lt;&gt;"✗"),1,0)</f>
        <v/>
      </c>
      <c r="E354">
        <f>IF(AND(W51!D10&lt;&gt;"",W51!D10&lt;&gt;"✗"),1,0)</f>
        <v/>
      </c>
      <c r="F354">
        <f>IF(AND(W51!D11&lt;&gt;"",W51!D11&lt;&gt;"✗"),1,0)</f>
        <v/>
      </c>
      <c r="G354">
        <f>IF(AND(W51!D12&lt;&gt;"",W51!D12&lt;&gt;"✗"),1,0)</f>
        <v/>
      </c>
      <c r="H354">
        <f>IF(AND(W51!D13&lt;&gt;"",W51!D13&lt;&gt;"✗"),1,0)</f>
        <v/>
      </c>
      <c r="I354">
        <f>IF(AND(W51!D14&lt;&gt;"",W51!D14&lt;&gt;"✗"),1,0)</f>
        <v/>
      </c>
      <c r="J354">
        <f>IF(AND(W51!D15&lt;&gt;"",W51!D15&lt;&gt;"✗"),1,0)</f>
        <v/>
      </c>
      <c r="K354">
        <f>IF(AND(W51!D16&lt;&gt;"",W51!D16&lt;&gt;"✗"),1,0)</f>
        <v/>
      </c>
      <c r="L354">
        <f>IF(AND(W51!D17&lt;&gt;"",W51!D17&lt;&gt;"✗"),1,0)</f>
        <v/>
      </c>
      <c r="M354">
        <f>IF(AND(W51!D18&lt;&gt;"",W51!D18&lt;&gt;"✗"),1,0)</f>
        <v/>
      </c>
      <c r="O354">
        <f>IF(D354=1,O353+1,0)</f>
        <v/>
      </c>
      <c r="P354">
        <f>IF(E354=1,P353+1,0)</f>
        <v/>
      </c>
      <c r="Q354">
        <f>IF(F354=1,Q353+1,0)</f>
        <v/>
      </c>
      <c r="R354">
        <f>IF(G354=1,R353+1,0)</f>
        <v/>
      </c>
      <c r="S354">
        <f>IF(H354=1,S353+1,0)</f>
        <v/>
      </c>
      <c r="T354">
        <f>IF(I354=1,T353+1,0)</f>
        <v/>
      </c>
      <c r="U354">
        <f>IF(J354=1,U353+1,0)</f>
        <v/>
      </c>
      <c r="V354">
        <f>IF(K354=1,V353+1,0)</f>
        <v/>
      </c>
      <c r="W354">
        <f>IF(L354=1,W353+1,0)</f>
        <v/>
      </c>
      <c r="X354">
        <f>IF(M354=1,X353+1,0)</f>
        <v/>
      </c>
    </row>
    <row r="355">
      <c r="A355" s="58">
        <f>'Start Here'!$E$6+352</f>
        <v/>
      </c>
      <c r="B355" t="n">
        <v>51</v>
      </c>
      <c r="C355" t="inlineStr">
        <is>
          <t>WED</t>
        </is>
      </c>
      <c r="D355">
        <f>IF(AND(W51!E9&lt;&gt;"",W51!E9&lt;&gt;"✗"),1,0)</f>
        <v/>
      </c>
      <c r="E355">
        <f>IF(AND(W51!E10&lt;&gt;"",W51!E10&lt;&gt;"✗"),1,0)</f>
        <v/>
      </c>
      <c r="F355">
        <f>IF(AND(W51!E11&lt;&gt;"",W51!E11&lt;&gt;"✗"),1,0)</f>
        <v/>
      </c>
      <c r="G355">
        <f>IF(AND(W51!E12&lt;&gt;"",W51!E12&lt;&gt;"✗"),1,0)</f>
        <v/>
      </c>
      <c r="H355">
        <f>IF(AND(W51!E13&lt;&gt;"",W51!E13&lt;&gt;"✗"),1,0)</f>
        <v/>
      </c>
      <c r="I355">
        <f>IF(AND(W51!E14&lt;&gt;"",W51!E14&lt;&gt;"✗"),1,0)</f>
        <v/>
      </c>
      <c r="J355">
        <f>IF(AND(W51!E15&lt;&gt;"",W51!E15&lt;&gt;"✗"),1,0)</f>
        <v/>
      </c>
      <c r="K355">
        <f>IF(AND(W51!E16&lt;&gt;"",W51!E16&lt;&gt;"✗"),1,0)</f>
        <v/>
      </c>
      <c r="L355">
        <f>IF(AND(W51!E17&lt;&gt;"",W51!E17&lt;&gt;"✗"),1,0)</f>
        <v/>
      </c>
      <c r="M355">
        <f>IF(AND(W51!E18&lt;&gt;"",W51!E18&lt;&gt;"✗"),1,0)</f>
        <v/>
      </c>
      <c r="O355">
        <f>IF(D355=1,O354+1,0)</f>
        <v/>
      </c>
      <c r="P355">
        <f>IF(E355=1,P354+1,0)</f>
        <v/>
      </c>
      <c r="Q355">
        <f>IF(F355=1,Q354+1,0)</f>
        <v/>
      </c>
      <c r="R355">
        <f>IF(G355=1,R354+1,0)</f>
        <v/>
      </c>
      <c r="S355">
        <f>IF(H355=1,S354+1,0)</f>
        <v/>
      </c>
      <c r="T355">
        <f>IF(I355=1,T354+1,0)</f>
        <v/>
      </c>
      <c r="U355">
        <f>IF(J355=1,U354+1,0)</f>
        <v/>
      </c>
      <c r="V355">
        <f>IF(K355=1,V354+1,0)</f>
        <v/>
      </c>
      <c r="W355">
        <f>IF(L355=1,W354+1,0)</f>
        <v/>
      </c>
      <c r="X355">
        <f>IF(M355=1,X354+1,0)</f>
        <v/>
      </c>
    </row>
    <row r="356">
      <c r="A356" s="58">
        <f>'Start Here'!$E$6+353</f>
        <v/>
      </c>
      <c r="B356" t="n">
        <v>51</v>
      </c>
      <c r="C356" t="inlineStr">
        <is>
          <t>THU</t>
        </is>
      </c>
      <c r="D356">
        <f>IF(AND(W51!F9&lt;&gt;"",W51!F9&lt;&gt;"✗"),1,0)</f>
        <v/>
      </c>
      <c r="E356">
        <f>IF(AND(W51!F10&lt;&gt;"",W51!F10&lt;&gt;"✗"),1,0)</f>
        <v/>
      </c>
      <c r="F356">
        <f>IF(AND(W51!F11&lt;&gt;"",W51!F11&lt;&gt;"✗"),1,0)</f>
        <v/>
      </c>
      <c r="G356">
        <f>IF(AND(W51!F12&lt;&gt;"",W51!F12&lt;&gt;"✗"),1,0)</f>
        <v/>
      </c>
      <c r="H356">
        <f>IF(AND(W51!F13&lt;&gt;"",W51!F13&lt;&gt;"✗"),1,0)</f>
        <v/>
      </c>
      <c r="I356">
        <f>IF(AND(W51!F14&lt;&gt;"",W51!F14&lt;&gt;"✗"),1,0)</f>
        <v/>
      </c>
      <c r="J356">
        <f>IF(AND(W51!F15&lt;&gt;"",W51!F15&lt;&gt;"✗"),1,0)</f>
        <v/>
      </c>
      <c r="K356">
        <f>IF(AND(W51!F16&lt;&gt;"",W51!F16&lt;&gt;"✗"),1,0)</f>
        <v/>
      </c>
      <c r="L356">
        <f>IF(AND(W51!F17&lt;&gt;"",W51!F17&lt;&gt;"✗"),1,0)</f>
        <v/>
      </c>
      <c r="M356">
        <f>IF(AND(W51!F18&lt;&gt;"",W51!F18&lt;&gt;"✗"),1,0)</f>
        <v/>
      </c>
      <c r="O356">
        <f>IF(D356=1,O355+1,0)</f>
        <v/>
      </c>
      <c r="P356">
        <f>IF(E356=1,P355+1,0)</f>
        <v/>
      </c>
      <c r="Q356">
        <f>IF(F356=1,Q355+1,0)</f>
        <v/>
      </c>
      <c r="R356">
        <f>IF(G356=1,R355+1,0)</f>
        <v/>
      </c>
      <c r="S356">
        <f>IF(H356=1,S355+1,0)</f>
        <v/>
      </c>
      <c r="T356">
        <f>IF(I356=1,T355+1,0)</f>
        <v/>
      </c>
      <c r="U356">
        <f>IF(J356=1,U355+1,0)</f>
        <v/>
      </c>
      <c r="V356">
        <f>IF(K356=1,V355+1,0)</f>
        <v/>
      </c>
      <c r="W356">
        <f>IF(L356=1,W355+1,0)</f>
        <v/>
      </c>
      <c r="X356">
        <f>IF(M356=1,X355+1,0)</f>
        <v/>
      </c>
    </row>
    <row r="357">
      <c r="A357" s="58">
        <f>'Start Here'!$E$6+354</f>
        <v/>
      </c>
      <c r="B357" t="n">
        <v>51</v>
      </c>
      <c r="C357" t="inlineStr">
        <is>
          <t>FRI</t>
        </is>
      </c>
      <c r="D357">
        <f>IF(AND(W51!G9&lt;&gt;"",W51!G9&lt;&gt;"✗"),1,0)</f>
        <v/>
      </c>
      <c r="E357">
        <f>IF(AND(W51!G10&lt;&gt;"",W51!G10&lt;&gt;"✗"),1,0)</f>
        <v/>
      </c>
      <c r="F357">
        <f>IF(AND(W51!G11&lt;&gt;"",W51!G11&lt;&gt;"✗"),1,0)</f>
        <v/>
      </c>
      <c r="G357">
        <f>IF(AND(W51!G12&lt;&gt;"",W51!G12&lt;&gt;"✗"),1,0)</f>
        <v/>
      </c>
      <c r="H357">
        <f>IF(AND(W51!G13&lt;&gt;"",W51!G13&lt;&gt;"✗"),1,0)</f>
        <v/>
      </c>
      <c r="I357">
        <f>IF(AND(W51!G14&lt;&gt;"",W51!G14&lt;&gt;"✗"),1,0)</f>
        <v/>
      </c>
      <c r="J357">
        <f>IF(AND(W51!G15&lt;&gt;"",W51!G15&lt;&gt;"✗"),1,0)</f>
        <v/>
      </c>
      <c r="K357">
        <f>IF(AND(W51!G16&lt;&gt;"",W51!G16&lt;&gt;"✗"),1,0)</f>
        <v/>
      </c>
      <c r="L357">
        <f>IF(AND(W51!G17&lt;&gt;"",W51!G17&lt;&gt;"✗"),1,0)</f>
        <v/>
      </c>
      <c r="M357">
        <f>IF(AND(W51!G18&lt;&gt;"",W51!G18&lt;&gt;"✗"),1,0)</f>
        <v/>
      </c>
      <c r="O357">
        <f>IF(D357=1,O356+1,0)</f>
        <v/>
      </c>
      <c r="P357">
        <f>IF(E357=1,P356+1,0)</f>
        <v/>
      </c>
      <c r="Q357">
        <f>IF(F357=1,Q356+1,0)</f>
        <v/>
      </c>
      <c r="R357">
        <f>IF(G357=1,R356+1,0)</f>
        <v/>
      </c>
      <c r="S357">
        <f>IF(H357=1,S356+1,0)</f>
        <v/>
      </c>
      <c r="T357">
        <f>IF(I357=1,T356+1,0)</f>
        <v/>
      </c>
      <c r="U357">
        <f>IF(J357=1,U356+1,0)</f>
        <v/>
      </c>
      <c r="V357">
        <f>IF(K357=1,V356+1,0)</f>
        <v/>
      </c>
      <c r="W357">
        <f>IF(L357=1,W356+1,0)</f>
        <v/>
      </c>
      <c r="X357">
        <f>IF(M357=1,X356+1,0)</f>
        <v/>
      </c>
    </row>
    <row r="358">
      <c r="A358" s="58">
        <f>'Start Here'!$E$6+355</f>
        <v/>
      </c>
      <c r="B358" t="n">
        <v>51</v>
      </c>
      <c r="C358" t="inlineStr">
        <is>
          <t>SAT</t>
        </is>
      </c>
      <c r="D358">
        <f>IF(AND(W51!H9&lt;&gt;"",W51!H9&lt;&gt;"✗"),1,0)</f>
        <v/>
      </c>
      <c r="E358">
        <f>IF(AND(W51!H10&lt;&gt;"",W51!H10&lt;&gt;"✗"),1,0)</f>
        <v/>
      </c>
      <c r="F358">
        <f>IF(AND(W51!H11&lt;&gt;"",W51!H11&lt;&gt;"✗"),1,0)</f>
        <v/>
      </c>
      <c r="G358">
        <f>IF(AND(W51!H12&lt;&gt;"",W51!H12&lt;&gt;"✗"),1,0)</f>
        <v/>
      </c>
      <c r="H358">
        <f>IF(AND(W51!H13&lt;&gt;"",W51!H13&lt;&gt;"✗"),1,0)</f>
        <v/>
      </c>
      <c r="I358">
        <f>IF(AND(W51!H14&lt;&gt;"",W51!H14&lt;&gt;"✗"),1,0)</f>
        <v/>
      </c>
      <c r="J358">
        <f>IF(AND(W51!H15&lt;&gt;"",W51!H15&lt;&gt;"✗"),1,0)</f>
        <v/>
      </c>
      <c r="K358">
        <f>IF(AND(W51!H16&lt;&gt;"",W51!H16&lt;&gt;"✗"),1,0)</f>
        <v/>
      </c>
      <c r="L358">
        <f>IF(AND(W51!H17&lt;&gt;"",W51!H17&lt;&gt;"✗"),1,0)</f>
        <v/>
      </c>
      <c r="M358">
        <f>IF(AND(W51!H18&lt;&gt;"",W51!H18&lt;&gt;"✗"),1,0)</f>
        <v/>
      </c>
      <c r="O358">
        <f>IF(D358=1,O357+1,0)</f>
        <v/>
      </c>
      <c r="P358">
        <f>IF(E358=1,P357+1,0)</f>
        <v/>
      </c>
      <c r="Q358">
        <f>IF(F358=1,Q357+1,0)</f>
        <v/>
      </c>
      <c r="R358">
        <f>IF(G358=1,R357+1,0)</f>
        <v/>
      </c>
      <c r="S358">
        <f>IF(H358=1,S357+1,0)</f>
        <v/>
      </c>
      <c r="T358">
        <f>IF(I358=1,T357+1,0)</f>
        <v/>
      </c>
      <c r="U358">
        <f>IF(J358=1,U357+1,0)</f>
        <v/>
      </c>
      <c r="V358">
        <f>IF(K358=1,V357+1,0)</f>
        <v/>
      </c>
      <c r="W358">
        <f>IF(L358=1,W357+1,0)</f>
        <v/>
      </c>
      <c r="X358">
        <f>IF(M358=1,X357+1,0)</f>
        <v/>
      </c>
    </row>
    <row r="359">
      <c r="A359" s="58">
        <f>'Start Here'!$E$6+356</f>
        <v/>
      </c>
      <c r="B359" t="n">
        <v>51</v>
      </c>
      <c r="C359" t="inlineStr">
        <is>
          <t>SUN</t>
        </is>
      </c>
      <c r="D359">
        <f>IF(AND(W51!I9&lt;&gt;"",W51!I9&lt;&gt;"✗"),1,0)</f>
        <v/>
      </c>
      <c r="E359">
        <f>IF(AND(W51!I10&lt;&gt;"",W51!I10&lt;&gt;"✗"),1,0)</f>
        <v/>
      </c>
      <c r="F359">
        <f>IF(AND(W51!I11&lt;&gt;"",W51!I11&lt;&gt;"✗"),1,0)</f>
        <v/>
      </c>
      <c r="G359">
        <f>IF(AND(W51!I12&lt;&gt;"",W51!I12&lt;&gt;"✗"),1,0)</f>
        <v/>
      </c>
      <c r="H359">
        <f>IF(AND(W51!I13&lt;&gt;"",W51!I13&lt;&gt;"✗"),1,0)</f>
        <v/>
      </c>
      <c r="I359">
        <f>IF(AND(W51!I14&lt;&gt;"",W51!I14&lt;&gt;"✗"),1,0)</f>
        <v/>
      </c>
      <c r="J359">
        <f>IF(AND(W51!I15&lt;&gt;"",W51!I15&lt;&gt;"✗"),1,0)</f>
        <v/>
      </c>
      <c r="K359">
        <f>IF(AND(W51!I16&lt;&gt;"",W51!I16&lt;&gt;"✗"),1,0)</f>
        <v/>
      </c>
      <c r="L359">
        <f>IF(AND(W51!I17&lt;&gt;"",W51!I17&lt;&gt;"✗"),1,0)</f>
        <v/>
      </c>
      <c r="M359">
        <f>IF(AND(W51!I18&lt;&gt;"",W51!I18&lt;&gt;"✗"),1,0)</f>
        <v/>
      </c>
      <c r="O359">
        <f>IF(D359=1,O358+1,0)</f>
        <v/>
      </c>
      <c r="P359">
        <f>IF(E359=1,P358+1,0)</f>
        <v/>
      </c>
      <c r="Q359">
        <f>IF(F359=1,Q358+1,0)</f>
        <v/>
      </c>
      <c r="R359">
        <f>IF(G359=1,R358+1,0)</f>
        <v/>
      </c>
      <c r="S359">
        <f>IF(H359=1,S358+1,0)</f>
        <v/>
      </c>
      <c r="T359">
        <f>IF(I359=1,T358+1,0)</f>
        <v/>
      </c>
      <c r="U359">
        <f>IF(J359=1,U358+1,0)</f>
        <v/>
      </c>
      <c r="V359">
        <f>IF(K359=1,V358+1,0)</f>
        <v/>
      </c>
      <c r="W359">
        <f>IF(L359=1,W358+1,0)</f>
        <v/>
      </c>
      <c r="X359">
        <f>IF(M359=1,X358+1,0)</f>
        <v/>
      </c>
    </row>
    <row r="360">
      <c r="A360" s="58">
        <f>'Start Here'!$E$6+357</f>
        <v/>
      </c>
      <c r="B360" t="n">
        <v>52</v>
      </c>
      <c r="C360" t="inlineStr">
        <is>
          <t>MON</t>
        </is>
      </c>
      <c r="D360">
        <f>IF(AND(W52!C9&lt;&gt;"",W52!C9&lt;&gt;"✗"),1,0)</f>
        <v/>
      </c>
      <c r="E360">
        <f>IF(AND(W52!C10&lt;&gt;"",W52!C10&lt;&gt;"✗"),1,0)</f>
        <v/>
      </c>
      <c r="F360">
        <f>IF(AND(W52!C11&lt;&gt;"",W52!C11&lt;&gt;"✗"),1,0)</f>
        <v/>
      </c>
      <c r="G360">
        <f>IF(AND(W52!C12&lt;&gt;"",W52!C12&lt;&gt;"✗"),1,0)</f>
        <v/>
      </c>
      <c r="H360">
        <f>IF(AND(W52!C13&lt;&gt;"",W52!C13&lt;&gt;"✗"),1,0)</f>
        <v/>
      </c>
      <c r="I360">
        <f>IF(AND(W52!C14&lt;&gt;"",W52!C14&lt;&gt;"✗"),1,0)</f>
        <v/>
      </c>
      <c r="J360">
        <f>IF(AND(W52!C15&lt;&gt;"",W52!C15&lt;&gt;"✗"),1,0)</f>
        <v/>
      </c>
      <c r="K360">
        <f>IF(AND(W52!C16&lt;&gt;"",W52!C16&lt;&gt;"✗"),1,0)</f>
        <v/>
      </c>
      <c r="L360">
        <f>IF(AND(W52!C17&lt;&gt;"",W52!C17&lt;&gt;"✗"),1,0)</f>
        <v/>
      </c>
      <c r="M360">
        <f>IF(AND(W52!C18&lt;&gt;"",W52!C18&lt;&gt;"✗"),1,0)</f>
        <v/>
      </c>
      <c r="O360">
        <f>IF(D360=1,O359+1,0)</f>
        <v/>
      </c>
      <c r="P360">
        <f>IF(E360=1,P359+1,0)</f>
        <v/>
      </c>
      <c r="Q360">
        <f>IF(F360=1,Q359+1,0)</f>
        <v/>
      </c>
      <c r="R360">
        <f>IF(G360=1,R359+1,0)</f>
        <v/>
      </c>
      <c r="S360">
        <f>IF(H360=1,S359+1,0)</f>
        <v/>
      </c>
      <c r="T360">
        <f>IF(I360=1,T359+1,0)</f>
        <v/>
      </c>
      <c r="U360">
        <f>IF(J360=1,U359+1,0)</f>
        <v/>
      </c>
      <c r="V360">
        <f>IF(K360=1,V359+1,0)</f>
        <v/>
      </c>
      <c r="W360">
        <f>IF(L360=1,W359+1,0)</f>
        <v/>
      </c>
      <c r="X360">
        <f>IF(M360=1,X359+1,0)</f>
        <v/>
      </c>
    </row>
    <row r="361">
      <c r="A361" s="58">
        <f>'Start Here'!$E$6+358</f>
        <v/>
      </c>
      <c r="B361" t="n">
        <v>52</v>
      </c>
      <c r="C361" t="inlineStr">
        <is>
          <t>TUE</t>
        </is>
      </c>
      <c r="D361">
        <f>IF(AND(W52!D9&lt;&gt;"",W52!D9&lt;&gt;"✗"),1,0)</f>
        <v/>
      </c>
      <c r="E361">
        <f>IF(AND(W52!D10&lt;&gt;"",W52!D10&lt;&gt;"✗"),1,0)</f>
        <v/>
      </c>
      <c r="F361">
        <f>IF(AND(W52!D11&lt;&gt;"",W52!D11&lt;&gt;"✗"),1,0)</f>
        <v/>
      </c>
      <c r="G361">
        <f>IF(AND(W52!D12&lt;&gt;"",W52!D12&lt;&gt;"✗"),1,0)</f>
        <v/>
      </c>
      <c r="H361">
        <f>IF(AND(W52!D13&lt;&gt;"",W52!D13&lt;&gt;"✗"),1,0)</f>
        <v/>
      </c>
      <c r="I361">
        <f>IF(AND(W52!D14&lt;&gt;"",W52!D14&lt;&gt;"✗"),1,0)</f>
        <v/>
      </c>
      <c r="J361">
        <f>IF(AND(W52!D15&lt;&gt;"",W52!D15&lt;&gt;"✗"),1,0)</f>
        <v/>
      </c>
      <c r="K361">
        <f>IF(AND(W52!D16&lt;&gt;"",W52!D16&lt;&gt;"✗"),1,0)</f>
        <v/>
      </c>
      <c r="L361">
        <f>IF(AND(W52!D17&lt;&gt;"",W52!D17&lt;&gt;"✗"),1,0)</f>
        <v/>
      </c>
      <c r="M361">
        <f>IF(AND(W52!D18&lt;&gt;"",W52!D18&lt;&gt;"✗"),1,0)</f>
        <v/>
      </c>
      <c r="O361">
        <f>IF(D361=1,O360+1,0)</f>
        <v/>
      </c>
      <c r="P361">
        <f>IF(E361=1,P360+1,0)</f>
        <v/>
      </c>
      <c r="Q361">
        <f>IF(F361=1,Q360+1,0)</f>
        <v/>
      </c>
      <c r="R361">
        <f>IF(G361=1,R360+1,0)</f>
        <v/>
      </c>
      <c r="S361">
        <f>IF(H361=1,S360+1,0)</f>
        <v/>
      </c>
      <c r="T361">
        <f>IF(I361=1,T360+1,0)</f>
        <v/>
      </c>
      <c r="U361">
        <f>IF(J361=1,U360+1,0)</f>
        <v/>
      </c>
      <c r="V361">
        <f>IF(K361=1,V360+1,0)</f>
        <v/>
      </c>
      <c r="W361">
        <f>IF(L361=1,W360+1,0)</f>
        <v/>
      </c>
      <c r="X361">
        <f>IF(M361=1,X360+1,0)</f>
        <v/>
      </c>
    </row>
    <row r="362">
      <c r="A362" s="58">
        <f>'Start Here'!$E$6+359</f>
        <v/>
      </c>
      <c r="B362" t="n">
        <v>52</v>
      </c>
      <c r="C362" t="inlineStr">
        <is>
          <t>WED</t>
        </is>
      </c>
      <c r="D362">
        <f>IF(AND(W52!E9&lt;&gt;"",W52!E9&lt;&gt;"✗"),1,0)</f>
        <v/>
      </c>
      <c r="E362">
        <f>IF(AND(W52!E10&lt;&gt;"",W52!E10&lt;&gt;"✗"),1,0)</f>
        <v/>
      </c>
      <c r="F362">
        <f>IF(AND(W52!E11&lt;&gt;"",W52!E11&lt;&gt;"✗"),1,0)</f>
        <v/>
      </c>
      <c r="G362">
        <f>IF(AND(W52!E12&lt;&gt;"",W52!E12&lt;&gt;"✗"),1,0)</f>
        <v/>
      </c>
      <c r="H362">
        <f>IF(AND(W52!E13&lt;&gt;"",W52!E13&lt;&gt;"✗"),1,0)</f>
        <v/>
      </c>
      <c r="I362">
        <f>IF(AND(W52!E14&lt;&gt;"",W52!E14&lt;&gt;"✗"),1,0)</f>
        <v/>
      </c>
      <c r="J362">
        <f>IF(AND(W52!E15&lt;&gt;"",W52!E15&lt;&gt;"✗"),1,0)</f>
        <v/>
      </c>
      <c r="K362">
        <f>IF(AND(W52!E16&lt;&gt;"",W52!E16&lt;&gt;"✗"),1,0)</f>
        <v/>
      </c>
      <c r="L362">
        <f>IF(AND(W52!E17&lt;&gt;"",W52!E17&lt;&gt;"✗"),1,0)</f>
        <v/>
      </c>
      <c r="M362">
        <f>IF(AND(W52!E18&lt;&gt;"",W52!E18&lt;&gt;"✗"),1,0)</f>
        <v/>
      </c>
      <c r="O362">
        <f>IF(D362=1,O361+1,0)</f>
        <v/>
      </c>
      <c r="P362">
        <f>IF(E362=1,P361+1,0)</f>
        <v/>
      </c>
      <c r="Q362">
        <f>IF(F362=1,Q361+1,0)</f>
        <v/>
      </c>
      <c r="R362">
        <f>IF(G362=1,R361+1,0)</f>
        <v/>
      </c>
      <c r="S362">
        <f>IF(H362=1,S361+1,0)</f>
        <v/>
      </c>
      <c r="T362">
        <f>IF(I362=1,T361+1,0)</f>
        <v/>
      </c>
      <c r="U362">
        <f>IF(J362=1,U361+1,0)</f>
        <v/>
      </c>
      <c r="V362">
        <f>IF(K362=1,V361+1,0)</f>
        <v/>
      </c>
      <c r="W362">
        <f>IF(L362=1,W361+1,0)</f>
        <v/>
      </c>
      <c r="X362">
        <f>IF(M362=1,X361+1,0)</f>
        <v/>
      </c>
    </row>
    <row r="363">
      <c r="A363" s="58">
        <f>'Start Here'!$E$6+360</f>
        <v/>
      </c>
      <c r="B363" t="n">
        <v>52</v>
      </c>
      <c r="C363" t="inlineStr">
        <is>
          <t>THU</t>
        </is>
      </c>
      <c r="D363">
        <f>IF(AND(W52!F9&lt;&gt;"",W52!F9&lt;&gt;"✗"),1,0)</f>
        <v/>
      </c>
      <c r="E363">
        <f>IF(AND(W52!F10&lt;&gt;"",W52!F10&lt;&gt;"✗"),1,0)</f>
        <v/>
      </c>
      <c r="F363">
        <f>IF(AND(W52!F11&lt;&gt;"",W52!F11&lt;&gt;"✗"),1,0)</f>
        <v/>
      </c>
      <c r="G363">
        <f>IF(AND(W52!F12&lt;&gt;"",W52!F12&lt;&gt;"✗"),1,0)</f>
        <v/>
      </c>
      <c r="H363">
        <f>IF(AND(W52!F13&lt;&gt;"",W52!F13&lt;&gt;"✗"),1,0)</f>
        <v/>
      </c>
      <c r="I363">
        <f>IF(AND(W52!F14&lt;&gt;"",W52!F14&lt;&gt;"✗"),1,0)</f>
        <v/>
      </c>
      <c r="J363">
        <f>IF(AND(W52!F15&lt;&gt;"",W52!F15&lt;&gt;"✗"),1,0)</f>
        <v/>
      </c>
      <c r="K363">
        <f>IF(AND(W52!F16&lt;&gt;"",W52!F16&lt;&gt;"✗"),1,0)</f>
        <v/>
      </c>
      <c r="L363">
        <f>IF(AND(W52!F17&lt;&gt;"",W52!F17&lt;&gt;"✗"),1,0)</f>
        <v/>
      </c>
      <c r="M363">
        <f>IF(AND(W52!F18&lt;&gt;"",W52!F18&lt;&gt;"✗"),1,0)</f>
        <v/>
      </c>
      <c r="O363">
        <f>IF(D363=1,O362+1,0)</f>
        <v/>
      </c>
      <c r="P363">
        <f>IF(E363=1,P362+1,0)</f>
        <v/>
      </c>
      <c r="Q363">
        <f>IF(F363=1,Q362+1,0)</f>
        <v/>
      </c>
      <c r="R363">
        <f>IF(G363=1,R362+1,0)</f>
        <v/>
      </c>
      <c r="S363">
        <f>IF(H363=1,S362+1,0)</f>
        <v/>
      </c>
      <c r="T363">
        <f>IF(I363=1,T362+1,0)</f>
        <v/>
      </c>
      <c r="U363">
        <f>IF(J363=1,U362+1,0)</f>
        <v/>
      </c>
      <c r="V363">
        <f>IF(K363=1,V362+1,0)</f>
        <v/>
      </c>
      <c r="W363">
        <f>IF(L363=1,W362+1,0)</f>
        <v/>
      </c>
      <c r="X363">
        <f>IF(M363=1,X362+1,0)</f>
        <v/>
      </c>
    </row>
    <row r="364">
      <c r="A364" s="58">
        <f>'Start Here'!$E$6+361</f>
        <v/>
      </c>
      <c r="B364" t="n">
        <v>52</v>
      </c>
      <c r="C364" t="inlineStr">
        <is>
          <t>FRI</t>
        </is>
      </c>
      <c r="D364">
        <f>IF(AND(W52!G9&lt;&gt;"",W52!G9&lt;&gt;"✗"),1,0)</f>
        <v/>
      </c>
      <c r="E364">
        <f>IF(AND(W52!G10&lt;&gt;"",W52!G10&lt;&gt;"✗"),1,0)</f>
        <v/>
      </c>
      <c r="F364">
        <f>IF(AND(W52!G11&lt;&gt;"",W52!G11&lt;&gt;"✗"),1,0)</f>
        <v/>
      </c>
      <c r="G364">
        <f>IF(AND(W52!G12&lt;&gt;"",W52!G12&lt;&gt;"✗"),1,0)</f>
        <v/>
      </c>
      <c r="H364">
        <f>IF(AND(W52!G13&lt;&gt;"",W52!G13&lt;&gt;"✗"),1,0)</f>
        <v/>
      </c>
      <c r="I364">
        <f>IF(AND(W52!G14&lt;&gt;"",W52!G14&lt;&gt;"✗"),1,0)</f>
        <v/>
      </c>
      <c r="J364">
        <f>IF(AND(W52!G15&lt;&gt;"",W52!G15&lt;&gt;"✗"),1,0)</f>
        <v/>
      </c>
      <c r="K364">
        <f>IF(AND(W52!G16&lt;&gt;"",W52!G16&lt;&gt;"✗"),1,0)</f>
        <v/>
      </c>
      <c r="L364">
        <f>IF(AND(W52!G17&lt;&gt;"",W52!G17&lt;&gt;"✗"),1,0)</f>
        <v/>
      </c>
      <c r="M364">
        <f>IF(AND(W52!G18&lt;&gt;"",W52!G18&lt;&gt;"✗"),1,0)</f>
        <v/>
      </c>
      <c r="O364">
        <f>IF(D364=1,O363+1,0)</f>
        <v/>
      </c>
      <c r="P364">
        <f>IF(E364=1,P363+1,0)</f>
        <v/>
      </c>
      <c r="Q364">
        <f>IF(F364=1,Q363+1,0)</f>
        <v/>
      </c>
      <c r="R364">
        <f>IF(G364=1,R363+1,0)</f>
        <v/>
      </c>
      <c r="S364">
        <f>IF(H364=1,S363+1,0)</f>
        <v/>
      </c>
      <c r="T364">
        <f>IF(I364=1,T363+1,0)</f>
        <v/>
      </c>
      <c r="U364">
        <f>IF(J364=1,U363+1,0)</f>
        <v/>
      </c>
      <c r="V364">
        <f>IF(K364=1,V363+1,0)</f>
        <v/>
      </c>
      <c r="W364">
        <f>IF(L364=1,W363+1,0)</f>
        <v/>
      </c>
      <c r="X364">
        <f>IF(M364=1,X363+1,0)</f>
        <v/>
      </c>
    </row>
    <row r="365">
      <c r="A365" s="58">
        <f>'Start Here'!$E$6+362</f>
        <v/>
      </c>
      <c r="B365" t="n">
        <v>52</v>
      </c>
      <c r="C365" t="inlineStr">
        <is>
          <t>SAT</t>
        </is>
      </c>
      <c r="D365">
        <f>IF(AND(W52!H9&lt;&gt;"",W52!H9&lt;&gt;"✗"),1,0)</f>
        <v/>
      </c>
      <c r="E365">
        <f>IF(AND(W52!H10&lt;&gt;"",W52!H10&lt;&gt;"✗"),1,0)</f>
        <v/>
      </c>
      <c r="F365">
        <f>IF(AND(W52!H11&lt;&gt;"",W52!H11&lt;&gt;"✗"),1,0)</f>
        <v/>
      </c>
      <c r="G365">
        <f>IF(AND(W52!H12&lt;&gt;"",W52!H12&lt;&gt;"✗"),1,0)</f>
        <v/>
      </c>
      <c r="H365">
        <f>IF(AND(W52!H13&lt;&gt;"",W52!H13&lt;&gt;"✗"),1,0)</f>
        <v/>
      </c>
      <c r="I365">
        <f>IF(AND(W52!H14&lt;&gt;"",W52!H14&lt;&gt;"✗"),1,0)</f>
        <v/>
      </c>
      <c r="J365">
        <f>IF(AND(W52!H15&lt;&gt;"",W52!H15&lt;&gt;"✗"),1,0)</f>
        <v/>
      </c>
      <c r="K365">
        <f>IF(AND(W52!H16&lt;&gt;"",W52!H16&lt;&gt;"✗"),1,0)</f>
        <v/>
      </c>
      <c r="L365">
        <f>IF(AND(W52!H17&lt;&gt;"",W52!H17&lt;&gt;"✗"),1,0)</f>
        <v/>
      </c>
      <c r="M365">
        <f>IF(AND(W52!H18&lt;&gt;"",W52!H18&lt;&gt;"✗"),1,0)</f>
        <v/>
      </c>
      <c r="O365">
        <f>IF(D365=1,O364+1,0)</f>
        <v/>
      </c>
      <c r="P365">
        <f>IF(E365=1,P364+1,0)</f>
        <v/>
      </c>
      <c r="Q365">
        <f>IF(F365=1,Q364+1,0)</f>
        <v/>
      </c>
      <c r="R365">
        <f>IF(G365=1,R364+1,0)</f>
        <v/>
      </c>
      <c r="S365">
        <f>IF(H365=1,S364+1,0)</f>
        <v/>
      </c>
      <c r="T365">
        <f>IF(I365=1,T364+1,0)</f>
        <v/>
      </c>
      <c r="U365">
        <f>IF(J365=1,U364+1,0)</f>
        <v/>
      </c>
      <c r="V365">
        <f>IF(K365=1,V364+1,0)</f>
        <v/>
      </c>
      <c r="W365">
        <f>IF(L365=1,W364+1,0)</f>
        <v/>
      </c>
      <c r="X365">
        <f>IF(M365=1,X364+1,0)</f>
        <v/>
      </c>
    </row>
    <row r="366">
      <c r="A366" s="58">
        <f>'Start Here'!$E$6+363</f>
        <v/>
      </c>
      <c r="B366" t="n">
        <v>52</v>
      </c>
      <c r="C366" t="inlineStr">
        <is>
          <t>SUN</t>
        </is>
      </c>
      <c r="D366">
        <f>IF(AND(W52!I9&lt;&gt;"",W52!I9&lt;&gt;"✗"),1,0)</f>
        <v/>
      </c>
      <c r="E366">
        <f>IF(AND(W52!I10&lt;&gt;"",W52!I10&lt;&gt;"✗"),1,0)</f>
        <v/>
      </c>
      <c r="F366">
        <f>IF(AND(W52!I11&lt;&gt;"",W52!I11&lt;&gt;"✗"),1,0)</f>
        <v/>
      </c>
      <c r="G366">
        <f>IF(AND(W52!I12&lt;&gt;"",W52!I12&lt;&gt;"✗"),1,0)</f>
        <v/>
      </c>
      <c r="H366">
        <f>IF(AND(W52!I13&lt;&gt;"",W52!I13&lt;&gt;"✗"),1,0)</f>
        <v/>
      </c>
      <c r="I366">
        <f>IF(AND(W52!I14&lt;&gt;"",W52!I14&lt;&gt;"✗"),1,0)</f>
        <v/>
      </c>
      <c r="J366">
        <f>IF(AND(W52!I15&lt;&gt;"",W52!I15&lt;&gt;"✗"),1,0)</f>
        <v/>
      </c>
      <c r="K366">
        <f>IF(AND(W52!I16&lt;&gt;"",W52!I16&lt;&gt;"✗"),1,0)</f>
        <v/>
      </c>
      <c r="L366">
        <f>IF(AND(W52!I17&lt;&gt;"",W52!I17&lt;&gt;"✗"),1,0)</f>
        <v/>
      </c>
      <c r="M366">
        <f>IF(AND(W52!I18&lt;&gt;"",W52!I18&lt;&gt;"✗"),1,0)</f>
        <v/>
      </c>
      <c r="O366">
        <f>IF(D366=1,O365+1,0)</f>
        <v/>
      </c>
      <c r="P366">
        <f>IF(E366=1,P365+1,0)</f>
        <v/>
      </c>
      <c r="Q366">
        <f>IF(F366=1,Q365+1,0)</f>
        <v/>
      </c>
      <c r="R366">
        <f>IF(G366=1,R365+1,0)</f>
        <v/>
      </c>
      <c r="S366">
        <f>IF(H366=1,S365+1,0)</f>
        <v/>
      </c>
      <c r="T366">
        <f>IF(I366=1,T365+1,0)</f>
        <v/>
      </c>
      <c r="U366">
        <f>IF(J366=1,U365+1,0)</f>
        <v/>
      </c>
      <c r="V366">
        <f>IF(K366=1,V365+1,0)</f>
        <v/>
      </c>
      <c r="W366">
        <f>IF(L366=1,W365+1,0)</f>
        <v/>
      </c>
      <c r="X366">
        <f>IF(M366=1,X365+1,0)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Momentum</dc:creator>
  <dc:title>Momentum - Weekly Habit System (Dark)</dc:title>
  <dc:description>52-week habit tracker with an automatic streak engine. Works in Microsoft Excel and Google Sheets. No macros.</dc:description>
  <dcterms:created xsi:type="dcterms:W3CDTF">2026-09-04T20:24:15Z</dcterms:created>
  <dcterms:modified xsi:type="dcterms:W3CDTF">2026-09-04T20:24:16Z</dcterms:modified>
</cp:coreProperties>
</file>